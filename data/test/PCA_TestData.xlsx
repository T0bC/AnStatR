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ZM2-MF\Labor\04_Forschung\Projekte\LAUFEND\2020_ES_texture_ICCAS\3_Analysis\R_statistics_UniHH\R_scripts_function\2023_refactor_TM\texAn\"/>
    </mc:Choice>
  </mc:AlternateContent>
  <bookViews>
    <workbookView xWindow="0" yWindow="0" windowWidth="20925" windowHeight="178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 s="1"/>
  <c r="I5" i="1"/>
  <c r="J5" i="1" s="1"/>
  <c r="I6" i="1"/>
  <c r="J6" i="1" s="1"/>
  <c r="I7" i="1"/>
  <c r="J7" i="1" s="1"/>
  <c r="K7" i="1" s="1"/>
  <c r="L7" i="1" s="1"/>
  <c r="I8" i="1"/>
  <c r="J8" i="1" s="1"/>
  <c r="K8" i="1" s="1"/>
  <c r="L8" i="1" s="1"/>
  <c r="I9" i="1"/>
  <c r="J9" i="1" s="1"/>
  <c r="K9" i="1" s="1"/>
  <c r="L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K23" i="1" s="1"/>
  <c r="L23" i="1" s="1"/>
  <c r="I24" i="1"/>
  <c r="J24" i="1" s="1"/>
  <c r="K24" i="1" s="1"/>
  <c r="L24" i="1" s="1"/>
  <c r="I25" i="1"/>
  <c r="J25" i="1" s="1"/>
  <c r="K25" i="1" s="1"/>
  <c r="L25" i="1" s="1"/>
  <c r="I26" i="1"/>
  <c r="J26" i="1" s="1"/>
  <c r="K26" i="1" s="1"/>
  <c r="L26" i="1" s="1"/>
  <c r="I27" i="1"/>
  <c r="J27" i="1" s="1"/>
  <c r="K27" i="1" s="1"/>
  <c r="L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2" i="1"/>
  <c r="J2" i="1" s="1"/>
  <c r="E37" i="1"/>
  <c r="F37" i="1" s="1"/>
  <c r="G37" i="1" s="1"/>
  <c r="E36" i="1"/>
  <c r="F36" i="1" s="1"/>
  <c r="G36" i="1" s="1"/>
  <c r="E35" i="1"/>
  <c r="F35" i="1" s="1"/>
  <c r="G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E20" i="1"/>
  <c r="F20" i="1" s="1"/>
  <c r="G20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4" i="1" s="1"/>
  <c r="G14" i="1" s="1"/>
  <c r="E19" i="1"/>
  <c r="F19" i="1" s="1"/>
  <c r="G19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6" i="1"/>
  <c r="F6" i="1" s="1"/>
  <c r="G6" i="1" s="1"/>
  <c r="E7" i="1"/>
  <c r="F7" i="1" s="1"/>
  <c r="G7" i="1" s="1"/>
  <c r="E5" i="1"/>
  <c r="F5" i="1" s="1"/>
  <c r="G5" i="1" s="1"/>
  <c r="E3" i="1"/>
  <c r="F3" i="1" s="1"/>
  <c r="G3" i="1" s="1"/>
  <c r="E4" i="1"/>
  <c r="F4" i="1" s="1"/>
  <c r="G4" i="1" s="1"/>
  <c r="E2" i="1"/>
  <c r="F2" i="1" s="1"/>
  <c r="G2" i="1" s="1"/>
  <c r="K12" i="1" l="1"/>
  <c r="L12" i="1" s="1"/>
  <c r="K11" i="1"/>
  <c r="L11" i="1" s="1"/>
  <c r="K10" i="1"/>
  <c r="L10" i="1" s="1"/>
  <c r="K19" i="1"/>
  <c r="L19" i="1" s="1"/>
  <c r="K15" i="1"/>
  <c r="L15" i="1" s="1"/>
  <c r="K6" i="1"/>
  <c r="L6" i="1" s="1"/>
  <c r="K14" i="1"/>
  <c r="L14" i="1" s="1"/>
  <c r="K36" i="1"/>
  <c r="L36" i="1" s="1"/>
  <c r="K34" i="1"/>
  <c r="L34" i="1" s="1"/>
  <c r="K35" i="1"/>
  <c r="L35" i="1" s="1"/>
  <c r="K33" i="1"/>
  <c r="L33" i="1" s="1"/>
  <c r="K13" i="1"/>
  <c r="L13" i="1" s="1"/>
  <c r="K4" i="1"/>
  <c r="L4" i="1" s="1"/>
  <c r="K3" i="1"/>
  <c r="L3" i="1" s="1"/>
  <c r="K20" i="1"/>
  <c r="L20" i="1" s="1"/>
  <c r="K17" i="1"/>
  <c r="L17" i="1" s="1"/>
  <c r="K21" i="1"/>
  <c r="L21" i="1" s="1"/>
  <c r="K16" i="1"/>
  <c r="L16" i="1" s="1"/>
  <c r="K5" i="1"/>
  <c r="L5" i="1" s="1"/>
  <c r="K32" i="1"/>
  <c r="L32" i="1" s="1"/>
  <c r="K30" i="1"/>
  <c r="L30" i="1" s="1"/>
  <c r="K2" i="1"/>
  <c r="L2" i="1" s="1"/>
  <c r="K37" i="1"/>
  <c r="L37" i="1" s="1"/>
  <c r="K29" i="1"/>
  <c r="L29" i="1" s="1"/>
  <c r="K22" i="1"/>
  <c r="L22" i="1" s="1"/>
  <c r="K18" i="1"/>
  <c r="L18" i="1" s="1"/>
  <c r="K31" i="1"/>
  <c r="L31" i="1" s="1"/>
  <c r="K28" i="1"/>
  <c r="L28" i="1" s="1"/>
  <c r="H34" i="1"/>
  <c r="H31" i="1"/>
  <c r="H33" i="1"/>
  <c r="H30" i="1"/>
  <c r="H29" i="1"/>
  <c r="H27" i="1"/>
  <c r="H35" i="1"/>
  <c r="H26" i="1"/>
  <c r="H36" i="1"/>
  <c r="H32" i="1"/>
  <c r="H28" i="1"/>
  <c r="H25" i="1"/>
  <c r="H37" i="1"/>
  <c r="H24" i="1"/>
  <c r="H23" i="1"/>
  <c r="H18" i="1"/>
  <c r="H14" i="1"/>
  <c r="H21" i="1"/>
  <c r="H11" i="1"/>
  <c r="H22" i="1"/>
  <c r="H19" i="1"/>
  <c r="H10" i="1"/>
  <c r="H17" i="1"/>
  <c r="H15" i="1"/>
  <c r="H12" i="1"/>
  <c r="H8" i="1"/>
  <c r="H20" i="1"/>
  <c r="H16" i="1"/>
  <c r="H9" i="1"/>
  <c r="H7" i="1"/>
  <c r="H13" i="1"/>
  <c r="H3" i="1"/>
  <c r="H6" i="1"/>
  <c r="H5" i="1"/>
  <c r="H2" i="1"/>
  <c r="H4" i="1"/>
</calcChain>
</file>

<file path=xl/sharedStrings.xml><?xml version="1.0" encoding="utf-8"?>
<sst xmlns="http://schemas.openxmlformats.org/spreadsheetml/2006/main" count="156" uniqueCount="55">
  <si>
    <t>ID</t>
  </si>
  <si>
    <t>GROUP</t>
  </si>
  <si>
    <t>TREATMENT</t>
  </si>
  <si>
    <t>SEX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</si>
  <si>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</si>
  <si>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</si>
  <si>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</si>
  <si>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</si>
  <si>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</si>
  <si>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</si>
  <si>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</si>
  <si>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</si>
  <si>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A</t>
  </si>
  <si>
    <t>X</t>
  </si>
  <si>
    <t>Y</t>
  </si>
  <si>
    <t>F</t>
  </si>
  <si>
    <t>M</t>
  </si>
  <si>
    <t>B</t>
  </si>
  <si>
    <t>C</t>
  </si>
  <si>
    <t>A1</t>
  </si>
  <si>
    <t>B1</t>
  </si>
  <si>
    <t>C1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</si>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</sst>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M1" sqref="M1:N1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19</v>
      </c>
      <c r="B2" t="s">
        <v>12</v>
      </c>
      <c r="C2" t="s">
        <v>13</v>
      </c>
      <c r="D2" t="s">
        <v>15</v>
      </c>
      <c r="E2">
        <f ca="1">RAND()*RANDBETWEEN(5,8)</f>
        <v>3.250048708610433</v>
      </c>
      <c r="F2">
        <f ca="1">100-E2-RAND()</f>
        <v>95.781955458067827</v>
      </c>
      <c r="G2">
        <f ca="1">F2-50*RAND()</f>
        <v>54.020303548871638</v>
      </c>
      <c r="H2">
        <f ca="1">E2*RAND()</f>
        <v>0.87658410469114834</v>
      </c>
      <c r="I2">
        <f ca="1">ABS(RAND()*RANDBETWEEN(5,8)-(RANDBETWEEN(1,4)/RAND())+20)</f>
        <v>20.199462226484631</v>
      </c>
      <c r="J2">
        <f ca="1">I2/RANDBETWEEN(1,3)*RAND()</f>
        <v>5.119905492908817</v>
      </c>
      <c r="K2">
        <f ca="1">ABS(J2-G2/RAND())</f>
        <v>123.35614349199254</v>
      </c>
      <c r="L2">
        <f ca="1">K2/RANDBETWEEN(5,8)</f>
        <v>20.559357248665425</v>
      </c>
    </row>
    <row r="3" spans="1:12" x14ac:dyDescent="0.25">
      <c r="A3" t="s">
        <v>22</v>
      </c>
      <c r="B3" t="s">
        <v>12</v>
      </c>
      <c r="C3" t="s">
        <v>13</v>
      </c>
      <c r="D3" t="s">
        <v>15</v>
      </c>
      <c r="E3">
        <f t="shared" ref="E3:E4" ca="1" si="0">RAND()*RANDBETWEEN(5,8)</f>
        <v>6.3798142257403843</v>
      </c>
      <c r="F3">
        <f t="shared" ref="F3:F37" ca="1" si="1">100-E3-RAND()</f>
        <v>93.065875513877572</v>
      </c>
      <c r="G3">
        <f t="shared" ref="G3:G37" ca="1" si="2">F3-50*RAND()</f>
        <v>63.615647545011562</v>
      </c>
      <c r="H3">
        <f t="shared" ref="H3:H37" ca="1" si="3">E3*RAND()</f>
        <v>2.6984345518660664</v>
      </c>
      <c r="I3">
        <f t="shared" ref="I3:I37" ca="1" si="4">ABS(RAND()*RANDBETWEEN(5,8)-(RANDBETWEEN(1,4)/RAND())+20)</f>
        <v>22.078246585803228</v>
      </c>
      <c r="J3">
        <f t="shared" ref="J3:J37" ca="1" si="5">I3/RANDBETWEEN(1,3)*RAND()</f>
        <v>8.743564006994168</v>
      </c>
      <c r="K3">
        <f t="shared" ref="K3:K37" ca="1" si="6">ABS(J3-G3/RAND())</f>
        <v>368.96810391348794</v>
      </c>
      <c r="L3">
        <f t="shared" ref="L3:L37" ca="1" si="7">K3/RANDBETWEEN(5,8)</f>
        <v>73.793620782697587</v>
      </c>
    </row>
    <row r="4" spans="1:12" x14ac:dyDescent="0.25">
      <c r="A4" t="s">
        <v>23</v>
      </c>
      <c r="B4" t="s">
        <v>12</v>
      </c>
      <c r="C4" t="s">
        <v>13</v>
      </c>
      <c r="D4" t="s">
        <v>15</v>
      </c>
      <c r="E4">
        <f t="shared" ca="1" si="0"/>
        <v>4.0819090175916148</v>
      </c>
      <c r="F4">
        <f t="shared" ca="1" si="1"/>
        <v>95.706412665488713</v>
      </c>
      <c r="G4">
        <f t="shared" ca="1" si="2"/>
        <v>59.393997890110711</v>
      </c>
      <c r="H4">
        <f t="shared" ca="1" si="3"/>
        <v>1.6784310284219173</v>
      </c>
      <c r="I4">
        <f t="shared" ca="1" si="4"/>
        <v>0.53625119319578829</v>
      </c>
      <c r="J4">
        <f t="shared" ca="1" si="5"/>
        <v>0.44786952224816667</v>
      </c>
      <c r="K4">
        <f t="shared" ca="1" si="6"/>
        <v>289.07924659374879</v>
      </c>
      <c r="L4">
        <f t="shared" ca="1" si="7"/>
        <v>48.179874432291463</v>
      </c>
    </row>
    <row r="5" spans="1:12" x14ac:dyDescent="0.25">
      <c r="A5" t="s">
        <v>24</v>
      </c>
      <c r="B5" t="s">
        <v>12</v>
      </c>
      <c r="C5" t="s">
        <v>13</v>
      </c>
      <c r="D5" t="s">
        <v>16</v>
      </c>
      <c r="E5">
        <f ca="1">RAND()*RANDBETWEEN(5,8)+5</f>
        <v>7.5241209685622108</v>
      </c>
      <c r="F5">
        <f t="shared" ca="1" si="1"/>
        <v>91.74110687051116</v>
      </c>
      <c r="G5">
        <f t="shared" ca="1" si="2"/>
        <v>85.450616201190257</v>
      </c>
      <c r="H5">
        <f t="shared" ca="1" si="3"/>
        <v>7.2974434045415677</v>
      </c>
      <c r="I5">
        <f t="shared" ca="1" si="4"/>
        <v>20.486721860421667</v>
      </c>
      <c r="J5">
        <f t="shared" ca="1" si="5"/>
        <v>3.6043290838310824</v>
      </c>
      <c r="K5">
        <f t="shared" ca="1" si="6"/>
        <v>171.76706018824731</v>
      </c>
      <c r="L5">
        <f t="shared" ca="1" si="7"/>
        <v>21.470882523530914</v>
      </c>
    </row>
    <row r="6" spans="1:12" x14ac:dyDescent="0.25">
      <c r="A6" t="s">
        <v>25</v>
      </c>
      <c r="B6" t="s">
        <v>12</v>
      </c>
      <c r="C6" t="s">
        <v>13</v>
      </c>
      <c r="D6" t="s">
        <v>16</v>
      </c>
      <c r="E6">
        <f t="shared" ref="E6:E7" ca="1" si="8">RAND()*RANDBETWEEN(5,8)+5</f>
        <v>8.6684218408304741</v>
      </c>
      <c r="F6">
        <f t="shared" ca="1" si="1"/>
        <v>91.291186815030429</v>
      </c>
      <c r="G6">
        <f t="shared" ca="1" si="2"/>
        <v>81.302001421474344</v>
      </c>
      <c r="H6">
        <f t="shared" ca="1" si="3"/>
        <v>5.7340613054481286</v>
      </c>
      <c r="I6">
        <f t="shared" ca="1" si="4"/>
        <v>14.650293020485602</v>
      </c>
      <c r="J6">
        <f t="shared" ca="1" si="5"/>
        <v>5.4906789025876925</v>
      </c>
      <c r="K6">
        <f t="shared" ca="1" si="6"/>
        <v>179.57687586021046</v>
      </c>
      <c r="L6">
        <f t="shared" ca="1" si="7"/>
        <v>35.91537517204209</v>
      </c>
    </row>
    <row r="7" spans="1:12" x14ac:dyDescent="0.25">
      <c r="A7" t="s">
        <v>26</v>
      </c>
      <c r="B7" t="s">
        <v>12</v>
      </c>
      <c r="C7" t="s">
        <v>13</v>
      </c>
      <c r="D7" t="s">
        <v>16</v>
      </c>
      <c r="E7">
        <f t="shared" ca="1" si="8"/>
        <v>12.40532646580877</v>
      </c>
      <c r="F7">
        <f t="shared" ca="1" si="1"/>
        <v>87.203823694982759</v>
      </c>
      <c r="G7">
        <f t="shared" ca="1" si="2"/>
        <v>86.811575836965972</v>
      </c>
      <c r="H7">
        <f t="shared" ca="1" si="3"/>
        <v>9.0225195503398972</v>
      </c>
      <c r="I7">
        <f t="shared" ca="1" si="4"/>
        <v>19.376182515708191</v>
      </c>
      <c r="J7">
        <f t="shared" ca="1" si="5"/>
        <v>16.306856010496389</v>
      </c>
      <c r="K7">
        <f t="shared" ca="1" si="6"/>
        <v>163.35535168281808</v>
      </c>
      <c r="L7">
        <f t="shared" ca="1" si="7"/>
        <v>23.336478811831153</v>
      </c>
    </row>
    <row r="8" spans="1:12" x14ac:dyDescent="0.25">
      <c r="A8" t="s">
        <v>27</v>
      </c>
      <c r="B8" t="s">
        <v>12</v>
      </c>
      <c r="C8" t="s">
        <v>14</v>
      </c>
      <c r="D8" t="s">
        <v>15</v>
      </c>
      <c r="E8">
        <f ca="1">RAND()*RANDBETWEEN(5,8)+10</f>
        <v>11.562618243444472</v>
      </c>
      <c r="F8">
        <f t="shared" ca="1" si="1"/>
        <v>87.830306804360163</v>
      </c>
      <c r="G8">
        <f t="shared" ca="1" si="2"/>
        <v>65.612293041065413</v>
      </c>
      <c r="H8">
        <f t="shared" ca="1" si="3"/>
        <v>11.275662183856916</v>
      </c>
      <c r="I8">
        <f t="shared" ca="1" si="4"/>
        <v>23.320203232563863</v>
      </c>
      <c r="J8">
        <f t="shared" ca="1" si="5"/>
        <v>9.6940510163960116</v>
      </c>
      <c r="K8">
        <f t="shared" ca="1" si="6"/>
        <v>481.19854669693228</v>
      </c>
      <c r="L8">
        <f t="shared" ca="1" si="7"/>
        <v>68.742649528133185</v>
      </c>
    </row>
    <row r="9" spans="1:12" x14ac:dyDescent="0.25">
      <c r="A9" t="s">
        <v>28</v>
      </c>
      <c r="B9" t="s">
        <v>12</v>
      </c>
      <c r="C9" t="s">
        <v>14</v>
      </c>
      <c r="D9" t="s">
        <v>15</v>
      </c>
      <c r="E9">
        <f ca="1">RAND()*RANDBETWEEN(5,8)+10</f>
        <v>11.964184692070802</v>
      </c>
      <c r="F9">
        <f t="shared" ca="1" si="1"/>
        <v>87.501265736173721</v>
      </c>
      <c r="G9">
        <f t="shared" ca="1" si="2"/>
        <v>66.157355179552752</v>
      </c>
      <c r="H9">
        <f t="shared" ca="1" si="3"/>
        <v>6.5515252621974627</v>
      </c>
      <c r="I9">
        <f t="shared" ca="1" si="4"/>
        <v>18.395594390947881</v>
      </c>
      <c r="J9">
        <f t="shared" ca="1" si="5"/>
        <v>2.769760856490239</v>
      </c>
      <c r="K9">
        <f t="shared" ca="1" si="6"/>
        <v>170.42869601540724</v>
      </c>
      <c r="L9">
        <f t="shared" ca="1" si="7"/>
        <v>24.346956573629605</v>
      </c>
    </row>
    <row r="10" spans="1:12" x14ac:dyDescent="0.25">
      <c r="A10" t="s">
        <v>29</v>
      </c>
      <c r="B10" t="s">
        <v>12</v>
      </c>
      <c r="C10" t="s">
        <v>14</v>
      </c>
      <c r="D10" t="s">
        <v>15</v>
      </c>
      <c r="E10">
        <f ca="1">RAND()*RANDBETWEEN(5,8)+10</f>
        <v>13.022097147233968</v>
      </c>
      <c r="F10">
        <f t="shared" ca="1" si="1"/>
        <v>86.019137887151871</v>
      </c>
      <c r="G10">
        <f t="shared" ca="1" si="2"/>
        <v>72.973289025454093</v>
      </c>
      <c r="H10">
        <f t="shared" ca="1" si="3"/>
        <v>12.118860254832754</v>
      </c>
      <c r="I10">
        <f t="shared" ca="1" si="4"/>
        <v>17.170078618843537</v>
      </c>
      <c r="J10">
        <f t="shared" ca="1" si="5"/>
        <v>4.6842497848857443</v>
      </c>
      <c r="K10">
        <f t="shared" ca="1" si="6"/>
        <v>89.965519393828288</v>
      </c>
      <c r="L10">
        <f t="shared" ca="1" si="7"/>
        <v>12.852217056261184</v>
      </c>
    </row>
    <row r="11" spans="1:12" x14ac:dyDescent="0.25">
      <c r="A11" t="s">
        <v>30</v>
      </c>
      <c r="B11" t="s">
        <v>12</v>
      </c>
      <c r="C11" t="s">
        <v>14</v>
      </c>
      <c r="D11" t="s">
        <v>16</v>
      </c>
      <c r="E11">
        <f ca="1">RAND()*RANDBETWEEN(5,8)+5+10</f>
        <v>19.366263124664023</v>
      </c>
      <c r="F11">
        <f t="shared" ca="1" si="1"/>
        <v>79.667787918687736</v>
      </c>
      <c r="G11">
        <f t="shared" ca="1" si="2"/>
        <v>50.893601929218804</v>
      </c>
      <c r="H11">
        <f t="shared" ca="1" si="3"/>
        <v>12.16170694791491</v>
      </c>
      <c r="I11">
        <f t="shared" ca="1" si="4"/>
        <v>7.1275054868547283</v>
      </c>
      <c r="J11">
        <f t="shared" ca="1" si="5"/>
        <v>3.2779995226617133</v>
      </c>
      <c r="K11">
        <f t="shared" ca="1" si="6"/>
        <v>63.629051868024391</v>
      </c>
      <c r="L11">
        <f t="shared" ca="1" si="7"/>
        <v>7.9536314835030488</v>
      </c>
    </row>
    <row r="12" spans="1:12" x14ac:dyDescent="0.25">
      <c r="A12" t="s">
        <v>31</v>
      </c>
      <c r="B12" t="s">
        <v>12</v>
      </c>
      <c r="C12" t="s">
        <v>14</v>
      </c>
      <c r="D12" t="s">
        <v>16</v>
      </c>
      <c r="E12">
        <f ca="1">RAND()*RANDBETWEEN(5,8)+5+10</f>
        <v>16.397457570747967</v>
      </c>
      <c r="F12">
        <f t="shared" ca="1" si="1"/>
        <v>82.909024816271128</v>
      </c>
      <c r="G12">
        <f t="shared" ca="1" si="2"/>
        <v>76.890534791168676</v>
      </c>
      <c r="H12">
        <f t="shared" ca="1" si="3"/>
        <v>1.4991435431797184</v>
      </c>
      <c r="I12">
        <f t="shared" ca="1" si="4"/>
        <v>20.316252121605782</v>
      </c>
      <c r="J12">
        <f t="shared" ca="1" si="5"/>
        <v>6.4391533695575029</v>
      </c>
      <c r="K12">
        <f t="shared" ca="1" si="6"/>
        <v>608.11313197340451</v>
      </c>
      <c r="L12">
        <f t="shared" ca="1" si="7"/>
        <v>76.014141496675563</v>
      </c>
    </row>
    <row r="13" spans="1:12" x14ac:dyDescent="0.25">
      <c r="A13" t="s">
        <v>32</v>
      </c>
      <c r="B13" t="s">
        <v>12</v>
      </c>
      <c r="C13" t="s">
        <v>14</v>
      </c>
      <c r="D13" t="s">
        <v>16</v>
      </c>
      <c r="E13">
        <f ca="1">RAND()*RANDBETWEEN(5,8)+5+10</f>
        <v>17.535201543590052</v>
      </c>
      <c r="F13">
        <f t="shared" ca="1" si="1"/>
        <v>81.925616201815842</v>
      </c>
      <c r="G13">
        <f t="shared" ca="1" si="2"/>
        <v>44.244677751593166</v>
      </c>
      <c r="H13">
        <f t="shared" ca="1" si="3"/>
        <v>4.8567594916368817</v>
      </c>
      <c r="I13">
        <f t="shared" ca="1" si="4"/>
        <v>11.567828158636885</v>
      </c>
      <c r="J13">
        <f t="shared" ca="1" si="5"/>
        <v>3.1970000784665884</v>
      </c>
      <c r="K13">
        <f t="shared" ca="1" si="6"/>
        <v>46.820365280972212</v>
      </c>
      <c r="L13">
        <f t="shared" ca="1" si="7"/>
        <v>9.3640730561944423</v>
      </c>
    </row>
    <row r="14" spans="1:12" x14ac:dyDescent="0.25">
      <c r="A14" t="s">
        <v>20</v>
      </c>
      <c r="B14" t="s">
        <v>17</v>
      </c>
      <c r="C14" t="s">
        <v>13</v>
      </c>
      <c r="D14" t="s">
        <v>15</v>
      </c>
      <c r="E14">
        <f ca="1">RAND()*RANDBETWEEN(4,7)</f>
        <v>4.0429058392950559</v>
      </c>
      <c r="F14">
        <f t="shared" ca="1" si="1"/>
        <v>95.443482569410605</v>
      </c>
      <c r="G14">
        <f t="shared" ca="1" si="2"/>
        <v>86.240237268218593</v>
      </c>
      <c r="H14">
        <f t="shared" ca="1" si="3"/>
        <v>3.2401165691690066</v>
      </c>
      <c r="I14">
        <f t="shared" ca="1" si="4"/>
        <v>22.97382464431869</v>
      </c>
      <c r="J14">
        <f t="shared" ca="1" si="5"/>
        <v>3.0468014953517146</v>
      </c>
      <c r="K14">
        <f t="shared" ca="1" si="6"/>
        <v>155.28880929285378</v>
      </c>
      <c r="L14">
        <f t="shared" ca="1" si="7"/>
        <v>19.411101161606723</v>
      </c>
    </row>
    <row r="15" spans="1:12" x14ac:dyDescent="0.25">
      <c r="A15" t="s">
        <v>33</v>
      </c>
      <c r="B15" t="s">
        <v>17</v>
      </c>
      <c r="C15" t="s">
        <v>13</v>
      </c>
      <c r="D15" t="s">
        <v>15</v>
      </c>
      <c r="E15">
        <f ca="1">RAND()*RANDBETWEEN(4,7)</f>
        <v>0.24444127592883391</v>
      </c>
      <c r="F15">
        <f t="shared" ca="1" si="1"/>
        <v>99.617383415232368</v>
      </c>
      <c r="G15">
        <f t="shared" ca="1" si="2"/>
        <v>58.688129906699679</v>
      </c>
      <c r="H15">
        <f t="shared" ca="1" si="3"/>
        <v>3.9891659920233821E-3</v>
      </c>
      <c r="I15">
        <f t="shared" ca="1" si="4"/>
        <v>18.673091402687241</v>
      </c>
      <c r="J15">
        <f t="shared" ca="1" si="5"/>
        <v>1.8135415517001003</v>
      </c>
      <c r="K15">
        <f t="shared" ca="1" si="6"/>
        <v>291.83213777990278</v>
      </c>
      <c r="L15">
        <f t="shared" ca="1" si="7"/>
        <v>48.638689629983794</v>
      </c>
    </row>
    <row r="16" spans="1:12" x14ac:dyDescent="0.25">
      <c r="A16" t="s">
        <v>34</v>
      </c>
      <c r="B16" t="s">
        <v>17</v>
      </c>
      <c r="C16" t="s">
        <v>13</v>
      </c>
      <c r="D16" t="s">
        <v>15</v>
      </c>
      <c r="E16">
        <f ca="1">RAND()*RANDBETWEEN(4,7)</f>
        <v>4.34477182045869</v>
      </c>
      <c r="F16">
        <f t="shared" ca="1" si="1"/>
        <v>95.522314920674859</v>
      </c>
      <c r="G16">
        <f t="shared" ca="1" si="2"/>
        <v>61.38108509637911</v>
      </c>
      <c r="H16">
        <f t="shared" ca="1" si="3"/>
        <v>4.0238032190092579</v>
      </c>
      <c r="I16">
        <f t="shared" ca="1" si="4"/>
        <v>83.534009992878723</v>
      </c>
      <c r="J16">
        <f t="shared" ca="1" si="5"/>
        <v>38.697376009102385</v>
      </c>
      <c r="K16">
        <f t="shared" ca="1" si="6"/>
        <v>1447.2684767808078</v>
      </c>
      <c r="L16">
        <f t="shared" ca="1" si="7"/>
        <v>241.21141279680128</v>
      </c>
    </row>
    <row r="17" spans="1:12" x14ac:dyDescent="0.25">
      <c r="A17" t="s">
        <v>35</v>
      </c>
      <c r="B17" t="s">
        <v>17</v>
      </c>
      <c r="C17" t="s">
        <v>13</v>
      </c>
      <c r="D17" t="s">
        <v>16</v>
      </c>
      <c r="E17">
        <f ca="1">RAND()*RANDBETWEEN(4,7)+5</f>
        <v>8.0463604372786932</v>
      </c>
      <c r="F17">
        <f t="shared" ca="1" si="1"/>
        <v>91.558289100243854</v>
      </c>
      <c r="G17">
        <f t="shared" ca="1" si="2"/>
        <v>88.029532084004117</v>
      </c>
      <c r="H17">
        <f t="shared" ca="1" si="3"/>
        <v>3.5823839911355808</v>
      </c>
      <c r="I17">
        <f t="shared" ca="1" si="4"/>
        <v>23.045483042709922</v>
      </c>
      <c r="J17">
        <f t="shared" ca="1" si="5"/>
        <v>4.3895819159790683</v>
      </c>
      <c r="K17">
        <f t="shared" ca="1" si="6"/>
        <v>137.82958058943666</v>
      </c>
      <c r="L17">
        <f t="shared" ca="1" si="7"/>
        <v>19.689940084205237</v>
      </c>
    </row>
    <row r="18" spans="1:12" x14ac:dyDescent="0.25">
      <c r="A18" t="s">
        <v>36</v>
      </c>
      <c r="B18" t="s">
        <v>17</v>
      </c>
      <c r="C18" t="s">
        <v>13</v>
      </c>
      <c r="D18" t="s">
        <v>16</v>
      </c>
      <c r="E18">
        <f ca="1">RAND()*RANDBETWEEN(4,7)+5</f>
        <v>7.7497916318986011</v>
      </c>
      <c r="F18">
        <f t="shared" ca="1" si="1"/>
        <v>91.366204625294628</v>
      </c>
      <c r="G18">
        <f t="shared" ca="1" si="2"/>
        <v>55.881740686684886</v>
      </c>
      <c r="H18">
        <f t="shared" ca="1" si="3"/>
        <v>6.1229340765508624</v>
      </c>
      <c r="I18">
        <f t="shared" ca="1" si="4"/>
        <v>21.404596953251513</v>
      </c>
      <c r="J18">
        <f t="shared" ca="1" si="5"/>
        <v>1.6321429334821107</v>
      </c>
      <c r="K18">
        <f t="shared" ca="1" si="6"/>
        <v>204.36669649510742</v>
      </c>
      <c r="L18">
        <f t="shared" ca="1" si="7"/>
        <v>34.061116082517906</v>
      </c>
    </row>
    <row r="19" spans="1:12" x14ac:dyDescent="0.25">
      <c r="A19" t="s">
        <v>37</v>
      </c>
      <c r="B19" t="s">
        <v>17</v>
      </c>
      <c r="C19" t="s">
        <v>13</v>
      </c>
      <c r="D19" t="s">
        <v>16</v>
      </c>
      <c r="E19">
        <f t="shared" ref="E18:E19" ca="1" si="9">RAND()*RANDBETWEEN(5,8)+5</f>
        <v>10.098000640382409</v>
      </c>
      <c r="F19">
        <f t="shared" ca="1" si="1"/>
        <v>89.071731974204383</v>
      </c>
      <c r="G19">
        <f t="shared" ca="1" si="2"/>
        <v>53.606010383009298</v>
      </c>
      <c r="H19">
        <f t="shared" ca="1" si="3"/>
        <v>0.32512059753706274</v>
      </c>
      <c r="I19">
        <f t="shared" ca="1" si="4"/>
        <v>17.338527858240077</v>
      </c>
      <c r="J19">
        <f t="shared" ca="1" si="5"/>
        <v>1.1775667492902109</v>
      </c>
      <c r="K19">
        <f t="shared" ca="1" si="6"/>
        <v>55.778020494872294</v>
      </c>
      <c r="L19">
        <f t="shared" ca="1" si="7"/>
        <v>7.9682886421246133</v>
      </c>
    </row>
    <row r="20" spans="1:12" x14ac:dyDescent="0.25">
      <c r="A20" t="s">
        <v>38</v>
      </c>
      <c r="B20" t="s">
        <v>17</v>
      </c>
      <c r="C20" t="s">
        <v>14</v>
      </c>
      <c r="D20" t="s">
        <v>15</v>
      </c>
      <c r="E20">
        <f ca="1">RAND()*RANDBETWEEN(4,7)+10</f>
        <v>16.531938381687137</v>
      </c>
      <c r="F20">
        <f t="shared" ca="1" si="1"/>
        <v>82.658547832249297</v>
      </c>
      <c r="G20">
        <f t="shared" ca="1" si="2"/>
        <v>58.365982951428727</v>
      </c>
      <c r="H20">
        <f t="shared" ca="1" si="3"/>
        <v>7.2507601223339266</v>
      </c>
      <c r="I20">
        <f t="shared" ca="1" si="4"/>
        <v>10.488476144986741</v>
      </c>
      <c r="J20">
        <f t="shared" ca="1" si="5"/>
        <v>0.85841967927131002</v>
      </c>
      <c r="K20">
        <f t="shared" ca="1" si="6"/>
        <v>128.09273527999238</v>
      </c>
      <c r="L20">
        <f t="shared" ca="1" si="7"/>
        <v>21.348789213332065</v>
      </c>
    </row>
    <row r="21" spans="1:12" x14ac:dyDescent="0.25">
      <c r="A21" t="s">
        <v>39</v>
      </c>
      <c r="B21" t="s">
        <v>17</v>
      </c>
      <c r="C21" t="s">
        <v>14</v>
      </c>
      <c r="D21" t="s">
        <v>15</v>
      </c>
      <c r="E21">
        <f ca="1">RAND()*RANDBETWEEN(4,7)+10</f>
        <v>13.847672858250615</v>
      </c>
      <c r="F21">
        <f t="shared" ca="1" si="1"/>
        <v>85.313076489983189</v>
      </c>
      <c r="G21">
        <f t="shared" ca="1" si="2"/>
        <v>83.754563036575234</v>
      </c>
      <c r="H21">
        <f t="shared" ca="1" si="3"/>
        <v>8.2351905087951156</v>
      </c>
      <c r="I21">
        <f t="shared" ca="1" si="4"/>
        <v>24.546671874683369</v>
      </c>
      <c r="J21">
        <f t="shared" ca="1" si="5"/>
        <v>18.075924844500804</v>
      </c>
      <c r="K21">
        <f t="shared" ca="1" si="6"/>
        <v>106.12155563229683</v>
      </c>
      <c r="L21">
        <f t="shared" ca="1" si="7"/>
        <v>13.265194454037104</v>
      </c>
    </row>
    <row r="22" spans="1:12" x14ac:dyDescent="0.25">
      <c r="A22" t="s">
        <v>40</v>
      </c>
      <c r="B22" t="s">
        <v>17</v>
      </c>
      <c r="C22" t="s">
        <v>14</v>
      </c>
      <c r="D22" t="s">
        <v>15</v>
      </c>
      <c r="E22">
        <f ca="1">RAND()*RANDBETWEEN(4,7)+10</f>
        <v>13.914430426092245</v>
      </c>
      <c r="F22">
        <f t="shared" ca="1" si="1"/>
        <v>85.623863216883052</v>
      </c>
      <c r="G22">
        <f t="shared" ca="1" si="2"/>
        <v>45.493880192891076</v>
      </c>
      <c r="H22">
        <f t="shared" ca="1" si="3"/>
        <v>1.8455206389513026</v>
      </c>
      <c r="I22">
        <f t="shared" ca="1" si="4"/>
        <v>21.275371528817313</v>
      </c>
      <c r="J22">
        <f t="shared" ca="1" si="5"/>
        <v>5.9498619992625441</v>
      </c>
      <c r="K22">
        <f t="shared" ca="1" si="6"/>
        <v>518.18198709664659</v>
      </c>
      <c r="L22">
        <f t="shared" ca="1" si="7"/>
        <v>103.63639741932931</v>
      </c>
    </row>
    <row r="23" spans="1:12" x14ac:dyDescent="0.25">
      <c r="A23" t="s">
        <v>41</v>
      </c>
      <c r="B23" t="s">
        <v>17</v>
      </c>
      <c r="C23" t="s">
        <v>14</v>
      </c>
      <c r="D23" t="s">
        <v>16</v>
      </c>
      <c r="E23">
        <f ca="1">RAND()*RANDBETWEEN(4,7)+5+10</f>
        <v>16.780845076922148</v>
      </c>
      <c r="F23">
        <f t="shared" ca="1" si="1"/>
        <v>82.581674776933653</v>
      </c>
      <c r="G23">
        <f t="shared" ca="1" si="2"/>
        <v>47.002962384237861</v>
      </c>
      <c r="H23">
        <f t="shared" ca="1" si="3"/>
        <v>5.4993605654795852</v>
      </c>
      <c r="I23">
        <f t="shared" ca="1" si="4"/>
        <v>18.304453527690672</v>
      </c>
      <c r="J23">
        <f t="shared" ca="1" si="5"/>
        <v>3.396813959488524</v>
      </c>
      <c r="K23">
        <f t="shared" ca="1" si="6"/>
        <v>49.114034607360381</v>
      </c>
      <c r="L23">
        <f t="shared" ca="1" si="7"/>
        <v>8.1856724345600629</v>
      </c>
    </row>
    <row r="24" spans="1:12" x14ac:dyDescent="0.25">
      <c r="A24" t="s">
        <v>42</v>
      </c>
      <c r="B24" t="s">
        <v>17</v>
      </c>
      <c r="C24" t="s">
        <v>14</v>
      </c>
      <c r="D24" t="s">
        <v>16</v>
      </c>
      <c r="E24">
        <f ca="1">RAND()*RANDBETWEEN(4,7)+5+10</f>
        <v>16.831423800647269</v>
      </c>
      <c r="F24">
        <f t="shared" ca="1" si="1"/>
        <v>82.523165431965438</v>
      </c>
      <c r="G24">
        <f t="shared" ca="1" si="2"/>
        <v>54.858473286162351</v>
      </c>
      <c r="H24">
        <f t="shared" ca="1" si="3"/>
        <v>2.806197614445145</v>
      </c>
      <c r="I24">
        <f t="shared" ca="1" si="4"/>
        <v>10.700894514406018</v>
      </c>
      <c r="J24">
        <f t="shared" ca="1" si="5"/>
        <v>4.1075473729373142</v>
      </c>
      <c r="K24">
        <f t="shared" ca="1" si="6"/>
        <v>109.27731304088661</v>
      </c>
      <c r="L24">
        <f t="shared" ca="1" si="7"/>
        <v>15.611044720126658</v>
      </c>
    </row>
    <row r="25" spans="1:12" x14ac:dyDescent="0.25">
      <c r="A25" t="s">
        <v>43</v>
      </c>
      <c r="B25" t="s">
        <v>17</v>
      </c>
      <c r="C25" t="s">
        <v>14</v>
      </c>
      <c r="D25" t="s">
        <v>16</v>
      </c>
      <c r="E25">
        <f ca="1">RAND()*RANDBETWEEN(4,7)+5+10</f>
        <v>17.224788273298138</v>
      </c>
      <c r="F25">
        <f t="shared" ca="1" si="1"/>
        <v>82.605484699339002</v>
      </c>
      <c r="G25">
        <f t="shared" ca="1" si="2"/>
        <v>50.197858039364334</v>
      </c>
      <c r="H25">
        <f t="shared" ca="1" si="3"/>
        <v>17.1646036398467</v>
      </c>
      <c r="I25">
        <f t="shared" ca="1" si="4"/>
        <v>17.442488974067711</v>
      </c>
      <c r="J25">
        <f t="shared" ca="1" si="5"/>
        <v>10.727313900700967</v>
      </c>
      <c r="K25">
        <f t="shared" ca="1" si="6"/>
        <v>90.566728388155568</v>
      </c>
      <c r="L25">
        <f t="shared" ca="1" si="7"/>
        <v>12.938104055450795</v>
      </c>
    </row>
    <row r="26" spans="1:12" x14ac:dyDescent="0.25">
      <c r="A26" t="s">
        <v>21</v>
      </c>
      <c r="B26" t="s">
        <v>18</v>
      </c>
      <c r="C26" t="s">
        <v>13</v>
      </c>
      <c r="D26" t="s">
        <v>15</v>
      </c>
      <c r="E26">
        <f ca="1">RAND()*RANDBETWEEN(8,11)</f>
        <v>9.8966206332022288</v>
      </c>
      <c r="F26">
        <f t="shared" ca="1" si="1"/>
        <v>89.118768009118227</v>
      </c>
      <c r="G26">
        <f t="shared" ca="1" si="2"/>
        <v>62.918484265736751</v>
      </c>
      <c r="H26">
        <f t="shared" ca="1" si="3"/>
        <v>0.98663784348700345</v>
      </c>
      <c r="I26">
        <f t="shared" ca="1" si="4"/>
        <v>19.87684384561511</v>
      </c>
      <c r="J26">
        <f t="shared" ca="1" si="5"/>
        <v>5.3705000488089079</v>
      </c>
      <c r="K26">
        <f t="shared" ca="1" si="6"/>
        <v>460.55376829169791</v>
      </c>
      <c r="L26">
        <f t="shared" ca="1" si="7"/>
        <v>57.569221036462238</v>
      </c>
    </row>
    <row r="27" spans="1:12" x14ac:dyDescent="0.25">
      <c r="A27" t="s">
        <v>44</v>
      </c>
      <c r="B27" t="s">
        <v>18</v>
      </c>
      <c r="C27" t="s">
        <v>13</v>
      </c>
      <c r="D27" t="s">
        <v>15</v>
      </c>
      <c r="E27">
        <f ca="1">RAND()*RANDBETWEEN(8,11)</f>
        <v>4.0738466957585677</v>
      </c>
      <c r="F27">
        <f t="shared" ca="1" si="1"/>
        <v>94.944768902897778</v>
      </c>
      <c r="G27">
        <f t="shared" ca="1" si="2"/>
        <v>72.935633050402373</v>
      </c>
      <c r="H27">
        <f t="shared" ca="1" si="3"/>
        <v>1.3892210367705387</v>
      </c>
      <c r="I27">
        <f t="shared" ca="1" si="4"/>
        <v>19.022081837426956</v>
      </c>
      <c r="J27">
        <f t="shared" ca="1" si="5"/>
        <v>2.050360902596529</v>
      </c>
      <c r="K27">
        <f t="shared" ca="1" si="6"/>
        <v>238.74523378290789</v>
      </c>
      <c r="L27">
        <f t="shared" ca="1" si="7"/>
        <v>47.749046756581578</v>
      </c>
    </row>
    <row r="28" spans="1:12" x14ac:dyDescent="0.25">
      <c r="A28" t="s">
        <v>45</v>
      </c>
      <c r="B28" t="s">
        <v>18</v>
      </c>
      <c r="C28" t="s">
        <v>13</v>
      </c>
      <c r="D28" t="s">
        <v>15</v>
      </c>
      <c r="E28">
        <f ca="1">RAND()*RANDBETWEEN(8,11)</f>
        <v>3.7947401378672985</v>
      </c>
      <c r="F28">
        <f t="shared" ca="1" si="1"/>
        <v>95.640090075590322</v>
      </c>
      <c r="G28">
        <f t="shared" ca="1" si="2"/>
        <v>81.726470810123061</v>
      </c>
      <c r="H28">
        <f t="shared" ca="1" si="3"/>
        <v>0.96568915833578972</v>
      </c>
      <c r="I28">
        <f t="shared" ca="1" si="4"/>
        <v>9.9413617450981029</v>
      </c>
      <c r="J28">
        <f t="shared" ca="1" si="5"/>
        <v>7.087511121543451</v>
      </c>
      <c r="K28">
        <f t="shared" ca="1" si="6"/>
        <v>316.77445145683237</v>
      </c>
      <c r="L28">
        <f t="shared" ca="1" si="7"/>
        <v>39.596806432104046</v>
      </c>
    </row>
    <row r="29" spans="1:12" x14ac:dyDescent="0.25">
      <c r="A29" t="s">
        <v>46</v>
      </c>
      <c r="B29" t="s">
        <v>18</v>
      </c>
      <c r="C29" t="s">
        <v>13</v>
      </c>
      <c r="D29" t="s">
        <v>16</v>
      </c>
      <c r="E29">
        <f ca="1">RAND()*RANDBETWEEN(8,11)+5</f>
        <v>6.2531250746937408</v>
      </c>
      <c r="F29">
        <f t="shared" ca="1" si="1"/>
        <v>92.769303188383731</v>
      </c>
      <c r="G29">
        <f t="shared" ca="1" si="2"/>
        <v>55.062025630553556</v>
      </c>
      <c r="H29">
        <f t="shared" ca="1" si="3"/>
        <v>0.27535105833366008</v>
      </c>
      <c r="I29">
        <f t="shared" ca="1" si="4"/>
        <v>21.505659990767334</v>
      </c>
      <c r="J29">
        <f t="shared" ca="1" si="5"/>
        <v>3.7065739133190285</v>
      </c>
      <c r="K29">
        <f t="shared" ca="1" si="6"/>
        <v>185.15340119763471</v>
      </c>
      <c r="L29">
        <f t="shared" ca="1" si="7"/>
        <v>23.144175149704338</v>
      </c>
    </row>
    <row r="30" spans="1:12" x14ac:dyDescent="0.25">
      <c r="A30" t="s">
        <v>47</v>
      </c>
      <c r="B30" t="s">
        <v>18</v>
      </c>
      <c r="C30" t="s">
        <v>13</v>
      </c>
      <c r="D30" t="s">
        <v>16</v>
      </c>
      <c r="E30">
        <f ca="1">RAND()*RANDBETWEEN(8,11)+5</f>
        <v>6.7868512082140287</v>
      </c>
      <c r="F30">
        <f t="shared" ca="1" si="1"/>
        <v>92.245812456033661</v>
      </c>
      <c r="G30">
        <f t="shared" ca="1" si="2"/>
        <v>42.698752070442367</v>
      </c>
      <c r="H30">
        <f t="shared" ca="1" si="3"/>
        <v>4.0243851822160632</v>
      </c>
      <c r="I30">
        <f t="shared" ca="1" si="4"/>
        <v>21.830403004484886</v>
      </c>
      <c r="J30">
        <f t="shared" ca="1" si="5"/>
        <v>0.93632492611082629</v>
      </c>
      <c r="K30">
        <f t="shared" ca="1" si="6"/>
        <v>70.788248248470765</v>
      </c>
      <c r="L30">
        <f t="shared" ca="1" si="7"/>
        <v>8.8485310310588456</v>
      </c>
    </row>
    <row r="31" spans="1:12" x14ac:dyDescent="0.25">
      <c r="A31" t="s">
        <v>48</v>
      </c>
      <c r="B31" t="s">
        <v>18</v>
      </c>
      <c r="C31" t="s">
        <v>13</v>
      </c>
      <c r="D31" t="s">
        <v>16</v>
      </c>
      <c r="E31">
        <f ca="1">RAND()*RANDBETWEEN(8,11)+5</f>
        <v>8.8620361457533239</v>
      </c>
      <c r="F31">
        <f t="shared" ca="1" si="1"/>
        <v>90.431773246519938</v>
      </c>
      <c r="G31">
        <f t="shared" ca="1" si="2"/>
        <v>58.644115975504043</v>
      </c>
      <c r="H31">
        <f t="shared" ca="1" si="3"/>
        <v>3.1589280392069727</v>
      </c>
      <c r="I31">
        <f t="shared" ca="1" si="4"/>
        <v>13.798686476408744</v>
      </c>
      <c r="J31">
        <f t="shared" ca="1" si="5"/>
        <v>6.6671822992005332</v>
      </c>
      <c r="K31">
        <f t="shared" ca="1" si="6"/>
        <v>103.46788645172785</v>
      </c>
      <c r="L31">
        <f t="shared" ca="1" si="7"/>
        <v>20.693577290345569</v>
      </c>
    </row>
    <row r="32" spans="1:12" x14ac:dyDescent="0.25">
      <c r="A32" t="s">
        <v>49</v>
      </c>
      <c r="B32" t="s">
        <v>18</v>
      </c>
      <c r="C32" t="s">
        <v>14</v>
      </c>
      <c r="D32" t="s">
        <v>15</v>
      </c>
      <c r="E32">
        <f ca="1">RAND()*RANDBETWEEN(8,11)+10</f>
        <v>16.765288588195869</v>
      </c>
      <c r="F32">
        <f t="shared" ca="1" si="1"/>
        <v>82.885686194687423</v>
      </c>
      <c r="G32">
        <f t="shared" ca="1" si="2"/>
        <v>53.142254527584718</v>
      </c>
      <c r="H32">
        <f t="shared" ca="1" si="3"/>
        <v>7.8794019715696004</v>
      </c>
      <c r="I32">
        <f t="shared" ca="1" si="4"/>
        <v>0.55962110532557219</v>
      </c>
      <c r="J32">
        <f t="shared" ca="1" si="5"/>
        <v>0.14657830044191869</v>
      </c>
      <c r="K32">
        <f t="shared" ca="1" si="6"/>
        <v>156.33021732590331</v>
      </c>
      <c r="L32">
        <f t="shared" ca="1" si="7"/>
        <v>31.266043465180662</v>
      </c>
    </row>
    <row r="33" spans="1:12" x14ac:dyDescent="0.25">
      <c r="A33" t="s">
        <v>50</v>
      </c>
      <c r="B33" t="s">
        <v>18</v>
      </c>
      <c r="C33" t="s">
        <v>14</v>
      </c>
      <c r="D33" t="s">
        <v>15</v>
      </c>
      <c r="E33">
        <f ca="1">RAND()*RANDBETWEEN(8,11)+10</f>
        <v>11.87649487038591</v>
      </c>
      <c r="F33">
        <f t="shared" ca="1" si="1"/>
        <v>87.975038259674449</v>
      </c>
      <c r="G33">
        <f t="shared" ca="1" si="2"/>
        <v>83.164365436940344</v>
      </c>
      <c r="H33">
        <f t="shared" ca="1" si="3"/>
        <v>8.7545625690341478</v>
      </c>
      <c r="I33">
        <f t="shared" ca="1" si="4"/>
        <v>15.757569379220993</v>
      </c>
      <c r="J33">
        <f t="shared" ca="1" si="5"/>
        <v>4.7324163728150319</v>
      </c>
      <c r="K33">
        <f t="shared" ca="1" si="6"/>
        <v>120.03088311837371</v>
      </c>
      <c r="L33">
        <f t="shared" ca="1" si="7"/>
        <v>20.005147186395618</v>
      </c>
    </row>
    <row r="34" spans="1:12" x14ac:dyDescent="0.25">
      <c r="A34" t="s">
        <v>51</v>
      </c>
      <c r="B34" t="s">
        <v>18</v>
      </c>
      <c r="C34" t="s">
        <v>14</v>
      </c>
      <c r="D34" t="s">
        <v>15</v>
      </c>
      <c r="E34">
        <f ca="1">RAND()*RANDBETWEEN(8,11)+10</f>
        <v>11.141508962996621</v>
      </c>
      <c r="F34">
        <f t="shared" ca="1" si="1"/>
        <v>88.622964403989172</v>
      </c>
      <c r="G34">
        <f t="shared" ca="1" si="2"/>
        <v>58.400024810463101</v>
      </c>
      <c r="H34">
        <f t="shared" ca="1" si="3"/>
        <v>10.033510527089273</v>
      </c>
      <c r="I34">
        <f t="shared" ca="1" si="4"/>
        <v>16.195773224583373</v>
      </c>
      <c r="J34">
        <f t="shared" ca="1" si="5"/>
        <v>2.9596442758682944</v>
      </c>
      <c r="K34">
        <f t="shared" ca="1" si="6"/>
        <v>107.80634891889838</v>
      </c>
      <c r="L34">
        <f t="shared" ca="1" si="7"/>
        <v>17.967724819816397</v>
      </c>
    </row>
    <row r="35" spans="1:12" x14ac:dyDescent="0.25">
      <c r="A35" t="s">
        <v>52</v>
      </c>
      <c r="B35" t="s">
        <v>18</v>
      </c>
      <c r="C35" t="s">
        <v>14</v>
      </c>
      <c r="D35" t="s">
        <v>16</v>
      </c>
      <c r="E35">
        <f ca="1">RAND()*RANDBETWEEN(8,11)+5+10</f>
        <v>19.948572394185593</v>
      </c>
      <c r="F35">
        <f t="shared" ca="1" si="1"/>
        <v>79.138824788357653</v>
      </c>
      <c r="G35">
        <f t="shared" ca="1" si="2"/>
        <v>49.178826986130751</v>
      </c>
      <c r="H35">
        <f t="shared" ca="1" si="3"/>
        <v>16.477691718735233</v>
      </c>
      <c r="I35">
        <f t="shared" ca="1" si="4"/>
        <v>25.268130592241477</v>
      </c>
      <c r="J35">
        <f t="shared" ca="1" si="5"/>
        <v>2.4980810262942832</v>
      </c>
      <c r="K35">
        <f t="shared" ca="1" si="6"/>
        <v>65.780966248852195</v>
      </c>
      <c r="L35">
        <f t="shared" ca="1" si="7"/>
        <v>8.2226207811065244</v>
      </c>
    </row>
    <row r="36" spans="1:12" x14ac:dyDescent="0.25">
      <c r="A36" t="s">
        <v>53</v>
      </c>
      <c r="B36" t="s">
        <v>18</v>
      </c>
      <c r="C36" t="s">
        <v>14</v>
      </c>
      <c r="D36" t="s">
        <v>16</v>
      </c>
      <c r="E36">
        <f ca="1">RAND()*RANDBETWEEN(8,11)+5+10</f>
        <v>21.065333556179553</v>
      </c>
      <c r="F36">
        <f t="shared" ca="1" si="1"/>
        <v>78.527974682599677</v>
      </c>
      <c r="G36">
        <f t="shared" ca="1" si="2"/>
        <v>33.293632259487275</v>
      </c>
      <c r="H36">
        <f t="shared" ca="1" si="3"/>
        <v>8.2612456264992993</v>
      </c>
      <c r="I36">
        <f t="shared" ca="1" si="4"/>
        <v>18.855164126804944</v>
      </c>
      <c r="J36">
        <f t="shared" ca="1" si="5"/>
        <v>1.1519904267052861</v>
      </c>
      <c r="K36">
        <f t="shared" ca="1" si="6"/>
        <v>652.22210364593423</v>
      </c>
      <c r="L36">
        <f t="shared" ca="1" si="7"/>
        <v>93.174586235133461</v>
      </c>
    </row>
    <row r="37" spans="1:12" x14ac:dyDescent="0.25">
      <c r="A37" t="s">
        <v>54</v>
      </c>
      <c r="B37" t="s">
        <v>18</v>
      </c>
      <c r="C37" t="s">
        <v>14</v>
      </c>
      <c r="D37" t="s">
        <v>16</v>
      </c>
      <c r="E37">
        <f ca="1">RAND()*RANDBETWEEN(8,11)+5+10</f>
        <v>19.224133496363848</v>
      </c>
      <c r="F37">
        <f t="shared" ca="1" si="1"/>
        <v>79.799606549450175</v>
      </c>
      <c r="G37">
        <f t="shared" ca="1" si="2"/>
        <v>42.459207576383349</v>
      </c>
      <c r="H37">
        <f t="shared" ca="1" si="3"/>
        <v>6.0799154478096504</v>
      </c>
      <c r="I37">
        <f t="shared" ca="1" si="4"/>
        <v>24.013184162648336</v>
      </c>
      <c r="J37">
        <f t="shared" ca="1" si="5"/>
        <v>1.555586274765334</v>
      </c>
      <c r="K37">
        <f t="shared" ca="1" si="6"/>
        <v>42.287277349401009</v>
      </c>
      <c r="L37">
        <f t="shared" ca="1" si="7"/>
        <v>5.2859096686751261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Leipzig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Meißner, Tobias</dc:creator>
  <cp:lastModifiedBy>Meißner, Tobias</cp:lastModifiedBy>
  <dcterms:created xsi:type="dcterms:W3CDTF">2024-06-05T13:45:20Z</dcterms:created>
  <dcterms:modified xsi:type="dcterms:W3CDTF">2024-06-05T13:58:43Z</dcterms:modified>
</cp:coreProperties>
</file>