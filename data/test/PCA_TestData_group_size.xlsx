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ZM2-MF\Labor\04_Forschung\Projekte\LAUFEND\2020_ES_texture_ICCAS\3_Analysis\R_statistics_UniHH\texAn\"/>
    </mc:Choice>
  </mc:AlternateContent>
  <bookViews>
    <workbookView xWindow="0" yWindow="0" windowWidth="20925" windowHeight="1782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E26" i="1"/>
  <c r="F26" i="1" s="1"/>
  <c r="G26" i="1" s="1"/>
  <c r="E25" i="1"/>
  <c r="F25" i="1" s="1"/>
  <c r="G25" i="1" s="1"/>
  <c r="E24" i="1"/>
  <c r="F24" i="1" s="1"/>
  <c r="G24" i="1" s="1"/>
  <c r="E23" i="1"/>
  <c r="F23" i="1" s="1"/>
  <c r="G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5" i="1"/>
  <c r="F15" i="1" s="1"/>
  <c r="G15" i="1" s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6" i="1"/>
  <c r="F16" i="1" s="1"/>
  <c r="G16" i="1" s="1"/>
  <c r="E10" i="1"/>
  <c r="F10" i="1" s="1"/>
  <c r="G10" i="1" s="1"/>
  <c r="E9" i="1"/>
  <c r="F9" i="1" s="1"/>
  <c r="G9" i="1" s="1"/>
  <c r="E8" i="1"/>
  <c r="F8" i="1" s="1"/>
  <c r="G8" i="1" s="1"/>
  <c r="F7" i="1"/>
  <c r="G7" i="1" s="1"/>
  <c r="E6" i="1"/>
  <c r="E5" i="1"/>
  <c r="F5" i="1" s="1"/>
  <c r="G5" i="1" s="1"/>
  <c r="E3" i="1"/>
  <c r="F3" i="1" s="1"/>
  <c r="G3" i="1" s="1"/>
  <c r="E4" i="1"/>
  <c r="F4" i="1" s="1"/>
  <c r="G4" i="1" s="1"/>
  <c r="E2" i="1"/>
  <c r="F2" i="1" s="1"/>
  <c r="G2" i="1" s="1"/>
  <c r="F6" i="1" l="1"/>
  <c r="G6" i="1" s="1"/>
  <c r="H7" i="1"/>
  <c r="K23" i="1"/>
  <c r="L23" i="1" s="1"/>
  <c r="K20" i="1"/>
  <c r="L20" i="1" s="1"/>
  <c r="K4" i="1"/>
  <c r="L4" i="1" s="1"/>
  <c r="K24" i="1"/>
  <c r="L24" i="1" s="1"/>
  <c r="K22" i="1"/>
  <c r="L22" i="1" s="1"/>
  <c r="K21" i="1"/>
  <c r="L21" i="1" s="1"/>
  <c r="K6" i="1"/>
  <c r="L6" i="1" s="1"/>
  <c r="K5" i="1"/>
  <c r="L5" i="1" s="1"/>
  <c r="K9" i="1"/>
  <c r="L9" i="1" s="1"/>
  <c r="K8" i="1"/>
  <c r="L8" i="1" s="1"/>
  <c r="K7" i="1"/>
  <c r="L7" i="1" s="1"/>
  <c r="K16" i="1"/>
  <c r="L16" i="1" s="1"/>
  <c r="K12" i="1"/>
  <c r="L12" i="1" s="1"/>
  <c r="K3" i="1"/>
  <c r="L3" i="1" s="1"/>
  <c r="K11" i="1"/>
  <c r="L11" i="1" s="1"/>
  <c r="K33" i="1"/>
  <c r="L33" i="1" s="1"/>
  <c r="K31" i="1"/>
  <c r="L31" i="1" s="1"/>
  <c r="K32" i="1"/>
  <c r="L32" i="1" s="1"/>
  <c r="K30" i="1"/>
  <c r="L30" i="1" s="1"/>
  <c r="K10" i="1"/>
  <c r="K17" i="1"/>
  <c r="L17" i="1" s="1"/>
  <c r="K14" i="1"/>
  <c r="L14" i="1" s="1"/>
  <c r="K18" i="1"/>
  <c r="L18" i="1" s="1"/>
  <c r="K13" i="1"/>
  <c r="L13" i="1" s="1"/>
  <c r="K2" i="1"/>
  <c r="L2" i="1" s="1"/>
  <c r="K29" i="1"/>
  <c r="L29" i="1" s="1"/>
  <c r="K27" i="1"/>
  <c r="L27" i="1" s="1"/>
  <c r="K34" i="1"/>
  <c r="L34" i="1" s="1"/>
  <c r="K26" i="1"/>
  <c r="L26" i="1" s="1"/>
  <c r="K19" i="1"/>
  <c r="L19" i="1" s="1"/>
  <c r="K15" i="1"/>
  <c r="L15" i="1" s="1"/>
  <c r="K28" i="1"/>
  <c r="L28" i="1" s="1"/>
  <c r="K25" i="1"/>
  <c r="L25" i="1" s="1"/>
  <c r="H31" i="1"/>
  <c r="H28" i="1"/>
  <c r="H30" i="1"/>
  <c r="H27" i="1"/>
  <c r="H26" i="1"/>
  <c r="H24" i="1"/>
  <c r="H32" i="1"/>
  <c r="H23" i="1"/>
  <c r="H33" i="1"/>
  <c r="H29" i="1"/>
  <c r="H25" i="1"/>
  <c r="H22" i="1"/>
  <c r="H34" i="1"/>
  <c r="H21" i="1"/>
  <c r="H20" i="1"/>
  <c r="H15" i="1"/>
  <c r="H11" i="1"/>
  <c r="H18" i="1"/>
  <c r="H8" i="1"/>
  <c r="H19" i="1"/>
  <c r="H16" i="1"/>
  <c r="H14" i="1"/>
  <c r="H12" i="1"/>
  <c r="H9" i="1"/>
  <c r="H5" i="1"/>
  <c r="H17" i="1"/>
  <c r="H13" i="1"/>
  <c r="H6" i="1"/>
  <c r="H4" i="1"/>
  <c r="H10" i="1"/>
  <c r="H3" i="1"/>
  <c r="H2" i="1"/>
</calcChain>
</file>

<file path=xl/sharedStrings.xml><?xml version="1.0" encoding="utf-8"?>
<sst xmlns="http://schemas.openxmlformats.org/spreadsheetml/2006/main" count="144" uniqueCount="52">
  <si>
    <t>ID</t>
  </si>
  <si>
    <t>GROUP</t>
  </si>
  <si>
    <t>TREATMENT</t>
  </si>
  <si>
    <t>SEX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</si>
  <si>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</si>
  <si>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</si>
  <si>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</si>
  <si>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</si>
  <si>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</si>
  <si>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</si>
  <si>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</si>
  <si>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</si>
  <si>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A</t>
  </si>
  <si>
    <t>X</t>
  </si>
  <si>
    <t>Y</t>
  </si>
  <si>
    <t>F</t>
  </si>
  <si>
    <t>M</t>
  </si>
  <si>
    <t>B</t>
  </si>
  <si>
    <t>C</t>
  </si>
  <si>
    <t>B1</t>
  </si>
  <si>
    <t>C1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</si>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</sst>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P15" sqref="P15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21</v>
      </c>
      <c r="B2" t="s">
        <v>12</v>
      </c>
      <c r="C2" t="s">
        <v>13</v>
      </c>
      <c r="D2" t="s">
        <v>16</v>
      </c>
      <c r="E2">
        <f ca="1">RAND()*RANDBETWEEN(5,8)+5</f>
        <v>7.4121339961396782</v>
      </c>
      <c r="F2">
        <f t="shared" ref="F2:F34" ca="1" si="0">100-E2-RAND()</f>
        <v>91.973125112777637</v>
      </c>
      <c r="G2">
        <f t="shared" ref="G2:G34" ca="1" si="1">F2-50*RAND()</f>
        <v>76.656634342244217</v>
      </c>
      <c r="H2">
        <f t="shared" ref="H2:H34" ca="1" si="2">E2*RAND()</f>
        <v>1.0359063574887608</v>
      </c>
      <c r="I2">
        <f t="shared" ref="I2:I34" ca="1" si="3">ABS(RAND()*RANDBETWEEN(5,8)-(RANDBETWEEN(1,4)/RAND())+20)</f>
        <v>21.695701109629283</v>
      </c>
      <c r="J2">
        <f t="shared" ref="J2:J34" ca="1" si="4">I2/RANDBETWEEN(1,3)*RAND()</f>
        <v>6.4989174322080325</v>
      </c>
      <c r="K2">
        <f t="shared" ref="K2:K34" ca="1" si="5">ABS(J2-G2/RAND())</f>
        <v>145.19475607450755</v>
      </c>
      <c r="L2">
        <f t="shared" ref="L2:L34" ca="1" si="6">K2/RANDBETWEEN(5,8)</f>
        <v>24.199126012417924</v>
      </c>
    </row>
    <row r="3" spans="1:12" x14ac:dyDescent="0.25">
      <c r="A3" t="s">
        <v>22</v>
      </c>
      <c r="B3" t="s">
        <v>12</v>
      </c>
      <c r="C3" t="s">
        <v>13</v>
      </c>
      <c r="D3" t="s">
        <v>16</v>
      </c>
      <c r="E3">
        <f t="shared" ref="E3:E4" ca="1" si="7">RAND()*RANDBETWEEN(5,8)+5</f>
        <v>7.3248596399543677</v>
      </c>
      <c r="F3">
        <f t="shared" ca="1" si="0"/>
        <v>92.200443626936746</v>
      </c>
      <c r="G3">
        <f t="shared" ca="1" si="1"/>
        <v>63.086826691141937</v>
      </c>
      <c r="H3">
        <f t="shared" ca="1" si="2"/>
        <v>2.9139333818929818</v>
      </c>
      <c r="I3">
        <f t="shared" ca="1" si="3"/>
        <v>24.916746461447509</v>
      </c>
      <c r="J3">
        <f t="shared" ca="1" si="4"/>
        <v>0.99140690785813068</v>
      </c>
      <c r="K3">
        <f t="shared" ca="1" si="5"/>
        <v>151.27073637277022</v>
      </c>
      <c r="L3">
        <f t="shared" ca="1" si="6"/>
        <v>21.61010519611003</v>
      </c>
    </row>
    <row r="4" spans="1:12" x14ac:dyDescent="0.25">
      <c r="A4" t="s">
        <v>23</v>
      </c>
      <c r="B4" t="s">
        <v>12</v>
      </c>
      <c r="C4" t="s">
        <v>13</v>
      </c>
      <c r="D4" t="s">
        <v>16</v>
      </c>
      <c r="E4">
        <f t="shared" ca="1" si="7"/>
        <v>11.018685584066279</v>
      </c>
      <c r="F4">
        <f t="shared" ca="1" si="0"/>
        <v>88.713183010995508</v>
      </c>
      <c r="G4">
        <f t="shared" ca="1" si="1"/>
        <v>51.951765935687554</v>
      </c>
      <c r="H4">
        <f t="shared" ca="1" si="2"/>
        <v>7.5674095781421338</v>
      </c>
      <c r="I4">
        <f t="shared" ca="1" si="3"/>
        <v>42.384662069385541</v>
      </c>
      <c r="J4">
        <f t="shared" ca="1" si="4"/>
        <v>9.9068670557815128</v>
      </c>
      <c r="K4">
        <f t="shared" ca="1" si="5"/>
        <v>64.579448859899259</v>
      </c>
      <c r="L4">
        <f t="shared" ca="1" si="6"/>
        <v>8.0724311074874073</v>
      </c>
    </row>
    <row r="5" spans="1:12" x14ac:dyDescent="0.25">
      <c r="A5" t="s">
        <v>24</v>
      </c>
      <c r="B5" t="s">
        <v>12</v>
      </c>
      <c r="C5" t="s">
        <v>14</v>
      </c>
      <c r="D5" t="s">
        <v>15</v>
      </c>
      <c r="E5">
        <f ca="1">RAND()*RANDBETWEEN(5,8)+10</f>
        <v>10.376392275690446</v>
      </c>
      <c r="F5">
        <f t="shared" ca="1" si="0"/>
        <v>88.859093602758421</v>
      </c>
      <c r="G5">
        <f t="shared" ca="1" si="1"/>
        <v>76.614797715394374</v>
      </c>
      <c r="H5">
        <f t="shared" ca="1" si="2"/>
        <v>4.5633141239652772</v>
      </c>
      <c r="I5">
        <f t="shared" ca="1" si="3"/>
        <v>21.811820213874384</v>
      </c>
      <c r="J5">
        <f t="shared" ca="1" si="4"/>
        <v>4.6023221434111299E-2</v>
      </c>
      <c r="K5">
        <f t="shared" ca="1" si="5"/>
        <v>175.23749112584272</v>
      </c>
      <c r="L5">
        <f t="shared" ca="1" si="6"/>
        <v>29.206248520973787</v>
      </c>
    </row>
    <row r="6" spans="1:12" x14ac:dyDescent="0.25">
      <c r="A6" t="s">
        <v>25</v>
      </c>
      <c r="B6" t="s">
        <v>12</v>
      </c>
      <c r="C6" t="s">
        <v>14</v>
      </c>
      <c r="D6" t="s">
        <v>15</v>
      </c>
      <c r="E6">
        <f ca="1">RAND()*RANDBETWEEN(5,8)+10</f>
        <v>11.229643239815658</v>
      </c>
      <c r="F6">
        <f t="shared" ca="1" si="0"/>
        <v>88.759012179179336</v>
      </c>
      <c r="G6">
        <f t="shared" ca="1" si="1"/>
        <v>54.971589828388844</v>
      </c>
      <c r="H6">
        <f t="shared" ca="1" si="2"/>
        <v>4.062478707400623</v>
      </c>
      <c r="I6">
        <f t="shared" ca="1" si="3"/>
        <v>16.248468083871227</v>
      </c>
      <c r="J6">
        <f t="shared" ca="1" si="4"/>
        <v>5.2286972435703767</v>
      </c>
      <c r="K6">
        <f t="shared" ca="1" si="5"/>
        <v>82.408530440375301</v>
      </c>
      <c r="L6">
        <f t="shared" ca="1" si="6"/>
        <v>11.7726472057679</v>
      </c>
    </row>
    <row r="7" spans="1:12" x14ac:dyDescent="0.25">
      <c r="A7" t="s">
        <v>26</v>
      </c>
      <c r="B7" t="s">
        <v>12</v>
      </c>
      <c r="C7" t="s">
        <v>14</v>
      </c>
      <c r="D7" t="s">
        <v>15</v>
      </c>
      <c r="F7">
        <f t="shared" ca="1" si="0"/>
        <v>99.34538194967098</v>
      </c>
      <c r="G7">
        <f t="shared" ca="1" si="1"/>
        <v>51.026910415804039</v>
      </c>
      <c r="H7">
        <f ca="1">E6*RAND()</f>
        <v>5.9708719211549736E-2</v>
      </c>
      <c r="I7">
        <f t="shared" ca="1" si="3"/>
        <v>8.2560944089229213</v>
      </c>
      <c r="J7">
        <f t="shared" ca="1" si="4"/>
        <v>0.18996861579046004</v>
      </c>
      <c r="K7">
        <f t="shared" ca="1" si="5"/>
        <v>95.497420626690371</v>
      </c>
      <c r="L7">
        <f t="shared" ca="1" si="6"/>
        <v>13.642488660955767</v>
      </c>
    </row>
    <row r="8" spans="1:12" x14ac:dyDescent="0.25">
      <c r="A8" t="s">
        <v>27</v>
      </c>
      <c r="B8" t="s">
        <v>12</v>
      </c>
      <c r="C8" t="s">
        <v>14</v>
      </c>
      <c r="D8" t="s">
        <v>16</v>
      </c>
      <c r="E8">
        <f ca="1">RAND()*RANDBETWEEN(5,8)+5+10</f>
        <v>16.915350891560411</v>
      </c>
      <c r="F8">
        <f t="shared" ca="1" si="0"/>
        <v>82.261043969641634</v>
      </c>
      <c r="G8">
        <f t="shared" ca="1" si="1"/>
        <v>73.126413218343501</v>
      </c>
      <c r="H8">
        <f t="shared" ca="1" si="2"/>
        <v>8.1899528862934954</v>
      </c>
      <c r="I8">
        <f t="shared" ca="1" si="3"/>
        <v>16.956299469411157</v>
      </c>
      <c r="J8">
        <f t="shared" ca="1" si="4"/>
        <v>5.2027306825933985</v>
      </c>
      <c r="K8">
        <f t="shared" ca="1" si="5"/>
        <v>142.78412941175262</v>
      </c>
      <c r="L8">
        <f t="shared" ca="1" si="6"/>
        <v>28.556825882350523</v>
      </c>
    </row>
    <row r="9" spans="1:12" x14ac:dyDescent="0.25">
      <c r="A9" t="s">
        <v>28</v>
      </c>
      <c r="B9" t="s">
        <v>12</v>
      </c>
      <c r="C9" t="s">
        <v>14</v>
      </c>
      <c r="D9" t="s">
        <v>16</v>
      </c>
      <c r="E9">
        <f ca="1">RAND()*RANDBETWEEN(5,8)+5+10</f>
        <v>15.858319785642555</v>
      </c>
      <c r="F9">
        <f t="shared" ca="1" si="0"/>
        <v>83.374217104969304</v>
      </c>
      <c r="G9">
        <f t="shared" ca="1" si="1"/>
        <v>38.791894864848764</v>
      </c>
      <c r="H9">
        <f t="shared" ca="1" si="2"/>
        <v>12.282800612763829</v>
      </c>
      <c r="I9">
        <f t="shared" ca="1" si="3"/>
        <v>7.6085407174823825</v>
      </c>
      <c r="J9">
        <f t="shared" ca="1" si="4"/>
        <v>1.2224835322172483</v>
      </c>
      <c r="K9">
        <f t="shared" ca="1" si="5"/>
        <v>224.21850857801434</v>
      </c>
      <c r="L9">
        <f t="shared" ca="1" si="6"/>
        <v>44.843701715602869</v>
      </c>
    </row>
    <row r="10" spans="1:12" x14ac:dyDescent="0.25">
      <c r="A10" t="s">
        <v>29</v>
      </c>
      <c r="B10" t="s">
        <v>12</v>
      </c>
      <c r="C10" t="s">
        <v>14</v>
      </c>
      <c r="D10" t="s">
        <v>16</v>
      </c>
      <c r="E10">
        <f ca="1">RAND()*RANDBETWEEN(5,8)+5+10</f>
        <v>18.668316045848222</v>
      </c>
      <c r="F10">
        <f t="shared" ca="1" si="0"/>
        <v>80.425927128396935</v>
      </c>
      <c r="G10">
        <f t="shared" ca="1" si="1"/>
        <v>58.611142378573774</v>
      </c>
      <c r="H10">
        <f t="shared" ca="1" si="2"/>
        <v>15.972303613542509</v>
      </c>
      <c r="I10">
        <f t="shared" ca="1" si="3"/>
        <v>9.8225413675938036</v>
      </c>
      <c r="J10">
        <f t="shared" ca="1" si="4"/>
        <v>3.3267483700341445</v>
      </c>
      <c r="K10">
        <f t="shared" ca="1" si="5"/>
        <v>88.17611342187692</v>
      </c>
    </row>
    <row r="11" spans="1:12" x14ac:dyDescent="0.25">
      <c r="A11" t="s">
        <v>19</v>
      </c>
      <c r="B11" t="s">
        <v>17</v>
      </c>
      <c r="C11" t="s">
        <v>13</v>
      </c>
      <c r="D11" t="s">
        <v>15</v>
      </c>
      <c r="E11">
        <f ca="1">RAND()*RANDBETWEEN(4,7)</f>
        <v>1.0132943559469034</v>
      </c>
      <c r="F11">
        <f t="shared" ca="1" si="0"/>
        <v>98.264638474896671</v>
      </c>
      <c r="G11">
        <f t="shared" ca="1" si="1"/>
        <v>67.38641194350086</v>
      </c>
      <c r="H11">
        <f t="shared" ca="1" si="2"/>
        <v>0.11644553129340555</v>
      </c>
      <c r="I11">
        <f t="shared" ca="1" si="3"/>
        <v>41.707256239277029</v>
      </c>
      <c r="J11">
        <f t="shared" ca="1" si="4"/>
        <v>16.823743190521906</v>
      </c>
      <c r="K11">
        <f t="shared" ca="1" si="5"/>
        <v>121.7235926338593</v>
      </c>
      <c r="L11">
        <f t="shared" ca="1" si="6"/>
        <v>17.389084661979901</v>
      </c>
    </row>
    <row r="12" spans="1:12" x14ac:dyDescent="0.25">
      <c r="A12" t="s">
        <v>30</v>
      </c>
      <c r="B12" t="s">
        <v>17</v>
      </c>
      <c r="C12" t="s">
        <v>13</v>
      </c>
      <c r="D12" t="s">
        <v>15</v>
      </c>
      <c r="E12">
        <f ca="1">RAND()*RANDBETWEEN(4,7)</f>
        <v>1.8652896040198201</v>
      </c>
      <c r="F12">
        <f t="shared" ca="1" si="0"/>
        <v>97.161049875314148</v>
      </c>
      <c r="G12">
        <f t="shared" ca="1" si="1"/>
        <v>51.535331822718547</v>
      </c>
      <c r="H12">
        <f t="shared" ca="1" si="2"/>
        <v>1.5186024398433808</v>
      </c>
      <c r="I12">
        <f t="shared" ca="1" si="3"/>
        <v>20.328611533213262</v>
      </c>
      <c r="J12">
        <f t="shared" ca="1" si="4"/>
        <v>4.0229028561230367</v>
      </c>
      <c r="K12">
        <f t="shared" ca="1" si="5"/>
        <v>52.815733301110818</v>
      </c>
      <c r="L12">
        <f t="shared" ca="1" si="6"/>
        <v>8.8026222168518036</v>
      </c>
    </row>
    <row r="13" spans="1:12" x14ac:dyDescent="0.25">
      <c r="A13" t="s">
        <v>31</v>
      </c>
      <c r="B13" t="s">
        <v>17</v>
      </c>
      <c r="C13" t="s">
        <v>13</v>
      </c>
      <c r="D13" t="s">
        <v>15</v>
      </c>
      <c r="E13">
        <f ca="1">RAND()*RANDBETWEEN(4,7)</f>
        <v>0.13207060341467791</v>
      </c>
      <c r="F13">
        <f t="shared" ca="1" si="0"/>
        <v>99.733156998498572</v>
      </c>
      <c r="G13">
        <f t="shared" ca="1" si="1"/>
        <v>51.612934926967498</v>
      </c>
      <c r="H13">
        <f t="shared" ca="1" si="2"/>
        <v>9.5769566087271635E-3</v>
      </c>
      <c r="I13">
        <f t="shared" ca="1" si="3"/>
        <v>13.067288984380006</v>
      </c>
      <c r="J13">
        <f t="shared" ca="1" si="4"/>
        <v>8.479705012591138</v>
      </c>
      <c r="K13">
        <f t="shared" ca="1" si="5"/>
        <v>124.95433956563399</v>
      </c>
      <c r="L13">
        <f t="shared" ca="1" si="6"/>
        <v>24.990867913126799</v>
      </c>
    </row>
    <row r="14" spans="1:12" x14ac:dyDescent="0.25">
      <c r="A14" t="s">
        <v>32</v>
      </c>
      <c r="B14" t="s">
        <v>17</v>
      </c>
      <c r="C14" t="s">
        <v>13</v>
      </c>
      <c r="D14" t="s">
        <v>16</v>
      </c>
      <c r="E14">
        <f ca="1">RAND()*RANDBETWEEN(4,7)+5</f>
        <v>7.3736407676501852</v>
      </c>
      <c r="F14">
        <f t="shared" ca="1" si="0"/>
        <v>92.496441128391183</v>
      </c>
      <c r="G14">
        <f t="shared" ca="1" si="1"/>
        <v>55.427555576395378</v>
      </c>
      <c r="H14">
        <f t="shared" ca="1" si="2"/>
        <v>6.0791708950422967</v>
      </c>
      <c r="I14">
        <f t="shared" ca="1" si="3"/>
        <v>15.194529687702124</v>
      </c>
      <c r="J14">
        <f t="shared" ca="1" si="4"/>
        <v>10.452338548340563</v>
      </c>
      <c r="K14">
        <f t="shared" ca="1" si="5"/>
        <v>152.55710216749577</v>
      </c>
      <c r="L14">
        <f t="shared" ca="1" si="6"/>
        <v>19.069637770936971</v>
      </c>
    </row>
    <row r="15" spans="1:12" x14ac:dyDescent="0.25">
      <c r="A15" t="s">
        <v>33</v>
      </c>
      <c r="B15" t="s">
        <v>17</v>
      </c>
      <c r="C15" t="s">
        <v>13</v>
      </c>
      <c r="D15" t="s">
        <v>16</v>
      </c>
      <c r="E15">
        <f ca="1">RAND()*RANDBETWEEN(4,7)+5</f>
        <v>6.1094541814777061</v>
      </c>
      <c r="F15">
        <f t="shared" ca="1" si="0"/>
        <v>93.259733736214585</v>
      </c>
      <c r="G15">
        <f t="shared" ca="1" si="1"/>
        <v>53.681646073321751</v>
      </c>
      <c r="H15">
        <f t="shared" ca="1" si="2"/>
        <v>1.5757061335470866</v>
      </c>
      <c r="I15">
        <f t="shared" ca="1" si="3"/>
        <v>20.027107800811308</v>
      </c>
      <c r="J15">
        <f t="shared" ca="1" si="4"/>
        <v>3.7121167812870937</v>
      </c>
      <c r="K15">
        <f t="shared" ca="1" si="5"/>
        <v>52.164450781266623</v>
      </c>
      <c r="L15">
        <f t="shared" ca="1" si="6"/>
        <v>10.432890156253325</v>
      </c>
    </row>
    <row r="16" spans="1:12" x14ac:dyDescent="0.25">
      <c r="A16" t="s">
        <v>34</v>
      </c>
      <c r="B16" t="s">
        <v>17</v>
      </c>
      <c r="C16" t="s">
        <v>13</v>
      </c>
      <c r="D16" t="s">
        <v>16</v>
      </c>
      <c r="E16">
        <f t="shared" ref="E16" ca="1" si="8">RAND()*RANDBETWEEN(5,8)+5</f>
        <v>9.477646656457086</v>
      </c>
      <c r="F16">
        <f t="shared" ca="1" si="0"/>
        <v>90.254134398493562</v>
      </c>
      <c r="G16">
        <f t="shared" ca="1" si="1"/>
        <v>57.787304269413482</v>
      </c>
      <c r="H16">
        <f t="shared" ca="1" si="2"/>
        <v>4.209794773113317</v>
      </c>
      <c r="I16">
        <f t="shared" ca="1" si="3"/>
        <v>20.294936719769161</v>
      </c>
      <c r="J16">
        <f t="shared" ca="1" si="4"/>
        <v>20.256444313670293</v>
      </c>
      <c r="K16">
        <f t="shared" ca="1" si="5"/>
        <v>439.3195929854615</v>
      </c>
      <c r="L16">
        <f t="shared" ca="1" si="6"/>
        <v>73.219932164243588</v>
      </c>
    </row>
    <row r="17" spans="1:12" x14ac:dyDescent="0.25">
      <c r="A17" t="s">
        <v>35</v>
      </c>
      <c r="B17" t="s">
        <v>17</v>
      </c>
      <c r="C17" t="s">
        <v>14</v>
      </c>
      <c r="D17" t="s">
        <v>15</v>
      </c>
      <c r="E17">
        <f ca="1">RAND()*RANDBETWEEN(4,7)+10</f>
        <v>13.254393933775903</v>
      </c>
      <c r="F17">
        <f t="shared" ca="1" si="0"/>
        <v>86.25430662036996</v>
      </c>
      <c r="G17">
        <f t="shared" ca="1" si="1"/>
        <v>61.231522176060238</v>
      </c>
      <c r="H17">
        <f t="shared" ca="1" si="2"/>
        <v>11.295818158278417</v>
      </c>
      <c r="I17">
        <f t="shared" ca="1" si="3"/>
        <v>21.502569181048681</v>
      </c>
      <c r="K17">
        <f t="shared" ca="1" si="5"/>
        <v>469.52466813897172</v>
      </c>
      <c r="L17">
        <f t="shared" ca="1" si="6"/>
        <v>78.254111356495287</v>
      </c>
    </row>
    <row r="18" spans="1:12" x14ac:dyDescent="0.25">
      <c r="A18" t="s">
        <v>36</v>
      </c>
      <c r="B18" t="s">
        <v>17</v>
      </c>
      <c r="C18" t="s">
        <v>14</v>
      </c>
      <c r="D18" t="s">
        <v>15</v>
      </c>
      <c r="E18">
        <f ca="1">RAND()*RANDBETWEEN(4,7)+10</f>
        <v>16.390019295988367</v>
      </c>
      <c r="F18">
        <f t="shared" ca="1" si="0"/>
        <v>83.027327797025805</v>
      </c>
      <c r="G18">
        <f t="shared" ca="1" si="1"/>
        <v>58.885033531345073</v>
      </c>
      <c r="H18">
        <f t="shared" ca="1" si="2"/>
        <v>9.5674974353952909</v>
      </c>
      <c r="I18">
        <f t="shared" ca="1" si="3"/>
        <v>12.327051070764194</v>
      </c>
      <c r="J18">
        <f t="shared" ca="1" si="4"/>
        <v>2.9727611621097134</v>
      </c>
      <c r="K18">
        <f t="shared" ca="1" si="5"/>
        <v>932.58104461549021</v>
      </c>
      <c r="L18">
        <f t="shared" ca="1" si="6"/>
        <v>116.57263057693628</v>
      </c>
    </row>
    <row r="19" spans="1:12" x14ac:dyDescent="0.25">
      <c r="A19" t="s">
        <v>37</v>
      </c>
      <c r="B19" t="s">
        <v>17</v>
      </c>
      <c r="C19" t="s">
        <v>14</v>
      </c>
      <c r="D19" t="s">
        <v>15</v>
      </c>
      <c r="E19">
        <f ca="1">RAND()*RANDBETWEEN(4,7)+10</f>
        <v>15.060476162439477</v>
      </c>
      <c r="F19">
        <f t="shared" ca="1" si="0"/>
        <v>84.19704928167765</v>
      </c>
      <c r="G19">
        <f t="shared" ca="1" si="1"/>
        <v>69.154681742755017</v>
      </c>
      <c r="H19">
        <f t="shared" ca="1" si="2"/>
        <v>12.626624598659138</v>
      </c>
      <c r="I19">
        <f t="shared" ca="1" si="3"/>
        <v>4.7012735818886675</v>
      </c>
      <c r="J19">
        <f t="shared" ca="1" si="4"/>
        <v>0.45980809722773008</v>
      </c>
      <c r="K19">
        <f t="shared" ca="1" si="5"/>
        <v>154.58502479910291</v>
      </c>
      <c r="L19">
        <f t="shared" ca="1" si="6"/>
        <v>22.083574971300415</v>
      </c>
    </row>
    <row r="20" spans="1:12" x14ac:dyDescent="0.25">
      <c r="A20" t="s">
        <v>38</v>
      </c>
      <c r="B20" t="s">
        <v>17</v>
      </c>
      <c r="C20" t="s">
        <v>14</v>
      </c>
      <c r="D20" t="s">
        <v>16</v>
      </c>
      <c r="E20">
        <f ca="1">RAND()*RANDBETWEEN(4,7)+5+10</f>
        <v>20.391890028129893</v>
      </c>
      <c r="F20">
        <f t="shared" ca="1" si="0"/>
        <v>78.651544882602252</v>
      </c>
      <c r="G20">
        <f t="shared" ca="1" si="1"/>
        <v>33.700377584642176</v>
      </c>
      <c r="H20">
        <f t="shared" ca="1" si="2"/>
        <v>0.45326907561170243</v>
      </c>
      <c r="I20">
        <f t="shared" ca="1" si="3"/>
        <v>23.873269647276256</v>
      </c>
      <c r="J20">
        <f t="shared" ca="1" si="4"/>
        <v>21.565418792346598</v>
      </c>
      <c r="K20">
        <f t="shared" ca="1" si="5"/>
        <v>44.882585747596913</v>
      </c>
      <c r="L20">
        <f t="shared" ca="1" si="6"/>
        <v>5.6103232184496141</v>
      </c>
    </row>
    <row r="21" spans="1:12" x14ac:dyDescent="0.25">
      <c r="A21" t="s">
        <v>39</v>
      </c>
      <c r="B21" t="s">
        <v>17</v>
      </c>
      <c r="C21" t="s">
        <v>14</v>
      </c>
      <c r="D21" t="s">
        <v>16</v>
      </c>
      <c r="E21">
        <f ca="1">RAND()*RANDBETWEEN(4,7)+5+10</f>
        <v>15.179526029277636</v>
      </c>
      <c r="F21">
        <f t="shared" ca="1" si="0"/>
        <v>84.341646319229227</v>
      </c>
      <c r="G21">
        <f t="shared" ca="1" si="1"/>
        <v>74.93982078992434</v>
      </c>
      <c r="H21">
        <f t="shared" ca="1" si="2"/>
        <v>9.35614600203591</v>
      </c>
      <c r="I21">
        <f t="shared" ca="1" si="3"/>
        <v>17.591431651461797</v>
      </c>
      <c r="J21">
        <f t="shared" ca="1" si="4"/>
        <v>3.1571686940536456</v>
      </c>
      <c r="K21">
        <f t="shared" ca="1" si="5"/>
        <v>78.536507188197305</v>
      </c>
      <c r="L21">
        <f t="shared" ca="1" si="6"/>
        <v>15.707301437639462</v>
      </c>
    </row>
    <row r="22" spans="1:12" x14ac:dyDescent="0.25">
      <c r="A22" t="s">
        <v>40</v>
      </c>
      <c r="B22" t="s">
        <v>17</v>
      </c>
      <c r="C22" t="s">
        <v>14</v>
      </c>
      <c r="D22" t="s">
        <v>16</v>
      </c>
      <c r="E22">
        <f ca="1">RAND()*RANDBETWEEN(4,7)+5+10</f>
        <v>19.038412218955315</v>
      </c>
      <c r="F22">
        <f t="shared" ca="1" si="0"/>
        <v>80.009146612230637</v>
      </c>
      <c r="G22">
        <f t="shared" ca="1" si="1"/>
        <v>53.727216203763703</v>
      </c>
      <c r="H22">
        <f t="shared" ca="1" si="2"/>
        <v>1.6439804757157466</v>
      </c>
      <c r="I22">
        <f t="shared" ca="1" si="3"/>
        <v>14.864447418116203</v>
      </c>
      <c r="J22">
        <f t="shared" ca="1" si="4"/>
        <v>2.8093709630963275</v>
      </c>
      <c r="K22">
        <f t="shared" ca="1" si="5"/>
        <v>115.52216427478039</v>
      </c>
      <c r="L22">
        <f t="shared" ca="1" si="6"/>
        <v>23.10443285495608</v>
      </c>
    </row>
    <row r="23" spans="1:12" x14ac:dyDescent="0.25">
      <c r="A23" t="s">
        <v>20</v>
      </c>
      <c r="B23" t="s">
        <v>18</v>
      </c>
      <c r="C23" t="s">
        <v>13</v>
      </c>
      <c r="D23" t="s">
        <v>15</v>
      </c>
      <c r="E23">
        <f ca="1">RAND()*RANDBETWEEN(8,11)</f>
        <v>8.1129533431167964</v>
      </c>
      <c r="F23">
        <f t="shared" ca="1" si="0"/>
        <v>91.715226609401498</v>
      </c>
      <c r="G23">
        <f t="shared" ca="1" si="1"/>
        <v>67.920654911547629</v>
      </c>
      <c r="H23">
        <f t="shared" ca="1" si="2"/>
        <v>5.3938044621165933</v>
      </c>
      <c r="I23">
        <f t="shared" ca="1" si="3"/>
        <v>15.284484644702154</v>
      </c>
      <c r="J23">
        <f t="shared" ca="1" si="4"/>
        <v>3.3395375295137781</v>
      </c>
      <c r="K23">
        <f t="shared" ca="1" si="5"/>
        <v>67.281248647315479</v>
      </c>
      <c r="L23">
        <f t="shared" ca="1" si="6"/>
        <v>9.6116069496164975</v>
      </c>
    </row>
    <row r="24" spans="1:12" x14ac:dyDescent="0.25">
      <c r="A24" t="s">
        <v>41</v>
      </c>
      <c r="B24" t="s">
        <v>18</v>
      </c>
      <c r="C24" t="s">
        <v>13</v>
      </c>
      <c r="D24" t="s">
        <v>15</v>
      </c>
      <c r="E24">
        <f ca="1">RAND()*RANDBETWEEN(8,11)</f>
        <v>5.0110362868460632</v>
      </c>
      <c r="F24">
        <f t="shared" ca="1" si="0"/>
        <v>94.574918268645945</v>
      </c>
      <c r="G24">
        <f t="shared" ca="1" si="1"/>
        <v>92.390376669688692</v>
      </c>
      <c r="H24">
        <f t="shared" ca="1" si="2"/>
        <v>2.402377191118755</v>
      </c>
      <c r="I24">
        <f t="shared" ca="1" si="3"/>
        <v>20.926063726092469</v>
      </c>
      <c r="J24">
        <f t="shared" ca="1" si="4"/>
        <v>8.3106440610576477</v>
      </c>
      <c r="K24">
        <f t="shared" ca="1" si="5"/>
        <v>1043.8888077864526</v>
      </c>
      <c r="L24">
        <f t="shared" ca="1" si="6"/>
        <v>173.98146796440878</v>
      </c>
    </row>
    <row r="25" spans="1:12" x14ac:dyDescent="0.25">
      <c r="A25" t="s">
        <v>42</v>
      </c>
      <c r="B25" t="s">
        <v>18</v>
      </c>
      <c r="C25" t="s">
        <v>13</v>
      </c>
      <c r="D25" t="s">
        <v>15</v>
      </c>
      <c r="E25">
        <f ca="1">RAND()*RANDBETWEEN(8,11)</f>
        <v>2.2730930277433865</v>
      </c>
      <c r="F25">
        <f t="shared" ca="1" si="0"/>
        <v>96.994536496415634</v>
      </c>
      <c r="G25">
        <f t="shared" ca="1" si="1"/>
        <v>49.08824274215818</v>
      </c>
      <c r="H25">
        <f t="shared" ca="1" si="2"/>
        <v>0.11312817702150164</v>
      </c>
      <c r="I25">
        <f t="shared" ca="1" si="3"/>
        <v>24.304548719530878</v>
      </c>
      <c r="J25">
        <f t="shared" ca="1" si="4"/>
        <v>10.401626571086174</v>
      </c>
      <c r="K25">
        <f t="shared" ca="1" si="5"/>
        <v>51.823723925133635</v>
      </c>
      <c r="L25">
        <f t="shared" ca="1" si="6"/>
        <v>7.4033891321619478</v>
      </c>
    </row>
    <row r="26" spans="1:12" x14ac:dyDescent="0.25">
      <c r="A26" t="s">
        <v>43</v>
      </c>
      <c r="B26" t="s">
        <v>18</v>
      </c>
      <c r="C26" t="s">
        <v>13</v>
      </c>
      <c r="D26" t="s">
        <v>16</v>
      </c>
      <c r="E26">
        <f ca="1">RAND()*RANDBETWEEN(8,11)+5</f>
        <v>6.7599949002941928</v>
      </c>
      <c r="F26">
        <f t="shared" ca="1" si="0"/>
        <v>92.817143360709338</v>
      </c>
      <c r="G26">
        <f t="shared" ca="1" si="1"/>
        <v>77.568220097603103</v>
      </c>
      <c r="H26">
        <f t="shared" ca="1" si="2"/>
        <v>2.6208128214274002</v>
      </c>
      <c r="I26">
        <f t="shared" ca="1" si="3"/>
        <v>17.21663698475249</v>
      </c>
      <c r="J26">
        <f t="shared" ca="1" si="4"/>
        <v>2.4573829423963858</v>
      </c>
      <c r="K26">
        <f t="shared" ca="1" si="5"/>
        <v>100.0351549203599</v>
      </c>
      <c r="L26">
        <f t="shared" ca="1" si="6"/>
        <v>14.290736417194271</v>
      </c>
    </row>
    <row r="27" spans="1:12" x14ac:dyDescent="0.25">
      <c r="A27" t="s">
        <v>44</v>
      </c>
      <c r="B27" t="s">
        <v>18</v>
      </c>
      <c r="C27" t="s">
        <v>13</v>
      </c>
      <c r="D27" t="s">
        <v>16</v>
      </c>
      <c r="E27">
        <f ca="1">RAND()*RANDBETWEEN(8,11)+5</f>
        <v>7.4332443991958144</v>
      </c>
      <c r="F27">
        <f t="shared" ca="1" si="0"/>
        <v>92.41191483254164</v>
      </c>
      <c r="G27">
        <f t="shared" ca="1" si="1"/>
        <v>87.834492575477881</v>
      </c>
      <c r="H27">
        <f t="shared" ca="1" si="2"/>
        <v>4.538749115368006</v>
      </c>
      <c r="I27">
        <f t="shared" ca="1" si="3"/>
        <v>16.397725558233837</v>
      </c>
      <c r="J27">
        <f t="shared" ca="1" si="4"/>
        <v>5.3232505098287382</v>
      </c>
      <c r="K27">
        <f t="shared" ca="1" si="5"/>
        <v>236.98591915086175</v>
      </c>
      <c r="L27">
        <f t="shared" ca="1" si="6"/>
        <v>33.855131307265964</v>
      </c>
    </row>
    <row r="28" spans="1:12" x14ac:dyDescent="0.25">
      <c r="A28" t="s">
        <v>45</v>
      </c>
      <c r="B28" t="s">
        <v>18</v>
      </c>
      <c r="C28" t="s">
        <v>13</v>
      </c>
      <c r="D28" t="s">
        <v>16</v>
      </c>
      <c r="E28">
        <f ca="1">RAND()*RANDBETWEEN(8,11)+5</f>
        <v>8.494716864920413</v>
      </c>
      <c r="F28">
        <f t="shared" ca="1" si="0"/>
        <v>91.145694219366689</v>
      </c>
      <c r="G28">
        <f t="shared" ca="1" si="1"/>
        <v>48.840157584186095</v>
      </c>
      <c r="H28">
        <f t="shared" ca="1" si="2"/>
        <v>1.1613817635542261</v>
      </c>
      <c r="I28">
        <f t="shared" ca="1" si="3"/>
        <v>20.323366330350922</v>
      </c>
      <c r="J28">
        <f t="shared" ca="1" si="4"/>
        <v>3.8310273628036238</v>
      </c>
      <c r="K28">
        <f t="shared" ca="1" si="5"/>
        <v>49.028578664237699</v>
      </c>
      <c r="L28">
        <f t="shared" ca="1" si="6"/>
        <v>7.0040826663196709</v>
      </c>
    </row>
    <row r="29" spans="1:12" x14ac:dyDescent="0.25">
      <c r="A29" t="s">
        <v>46</v>
      </c>
      <c r="B29" t="s">
        <v>18</v>
      </c>
      <c r="C29" t="s">
        <v>14</v>
      </c>
      <c r="D29" t="s">
        <v>15</v>
      </c>
      <c r="E29">
        <f ca="1">RAND()*RANDBETWEEN(8,11)+10</f>
        <v>11.345684105586585</v>
      </c>
      <c r="F29">
        <f t="shared" ca="1" si="0"/>
        <v>88.324721591574033</v>
      </c>
      <c r="G29">
        <f t="shared" ca="1" si="1"/>
        <v>60.799076122062786</v>
      </c>
      <c r="H29">
        <f t="shared" ca="1" si="2"/>
        <v>8.3905901859447862</v>
      </c>
      <c r="I29">
        <f t="shared" ca="1" si="3"/>
        <v>18.477114087530147</v>
      </c>
      <c r="J29">
        <f t="shared" ca="1" si="4"/>
        <v>2.1450226808406265</v>
      </c>
      <c r="K29">
        <f t="shared" ca="1" si="5"/>
        <v>97.072501581480893</v>
      </c>
      <c r="L29">
        <f t="shared" ca="1" si="6"/>
        <v>16.178750263580149</v>
      </c>
    </row>
    <row r="30" spans="1:12" x14ac:dyDescent="0.25">
      <c r="A30" t="s">
        <v>47</v>
      </c>
      <c r="B30" t="s">
        <v>18</v>
      </c>
      <c r="C30" t="s">
        <v>14</v>
      </c>
      <c r="D30" t="s">
        <v>15</v>
      </c>
      <c r="E30">
        <f ca="1">RAND()*RANDBETWEEN(8,11)+10</f>
        <v>18.959353119394528</v>
      </c>
      <c r="F30">
        <f t="shared" ca="1" si="0"/>
        <v>80.720231864467578</v>
      </c>
      <c r="G30">
        <f t="shared" ca="1" si="1"/>
        <v>35.772892983159373</v>
      </c>
      <c r="H30">
        <f t="shared" ca="1" si="2"/>
        <v>14.967656447876346</v>
      </c>
      <c r="I30">
        <f t="shared" ca="1" si="3"/>
        <v>14.805848068560284</v>
      </c>
      <c r="J30">
        <f t="shared" ca="1" si="4"/>
        <v>1.8592648518657877</v>
      </c>
      <c r="K30">
        <f t="shared" ca="1" si="5"/>
        <v>1410.9007148891103</v>
      </c>
      <c r="L30">
        <f t="shared" ca="1" si="6"/>
        <v>282.18014297782207</v>
      </c>
    </row>
    <row r="31" spans="1:12" x14ac:dyDescent="0.25">
      <c r="A31" t="s">
        <v>48</v>
      </c>
      <c r="B31" t="s">
        <v>18</v>
      </c>
      <c r="C31" t="s">
        <v>14</v>
      </c>
      <c r="D31" t="s">
        <v>15</v>
      </c>
      <c r="E31">
        <f ca="1">RAND()*RANDBETWEEN(8,11)+10</f>
        <v>18.789954803619729</v>
      </c>
      <c r="F31">
        <f t="shared" ca="1" si="0"/>
        <v>80.680959283783295</v>
      </c>
      <c r="G31">
        <f t="shared" ca="1" si="1"/>
        <v>51.444295530866349</v>
      </c>
      <c r="H31">
        <f t="shared" ca="1" si="2"/>
        <v>9.9332586674678005</v>
      </c>
      <c r="I31">
        <f t="shared" ca="1" si="3"/>
        <v>129.38250809224138</v>
      </c>
      <c r="J31">
        <f t="shared" ca="1" si="4"/>
        <v>29.146451456396132</v>
      </c>
      <c r="K31">
        <f t="shared" ca="1" si="5"/>
        <v>88.404266373781297</v>
      </c>
      <c r="L31">
        <f t="shared" ca="1" si="6"/>
        <v>17.680853274756259</v>
      </c>
    </row>
    <row r="32" spans="1:12" x14ac:dyDescent="0.25">
      <c r="A32" t="s">
        <v>49</v>
      </c>
      <c r="B32" t="s">
        <v>18</v>
      </c>
      <c r="C32" t="s">
        <v>14</v>
      </c>
      <c r="D32" t="s">
        <v>16</v>
      </c>
      <c r="E32">
        <f ca="1">RAND()*RANDBETWEEN(8,11)+5+10</f>
        <v>17.175684694297445</v>
      </c>
      <c r="F32">
        <f t="shared" ca="1" si="0"/>
        <v>81.905104679284889</v>
      </c>
      <c r="G32">
        <f t="shared" ca="1" si="1"/>
        <v>53.029384659694699</v>
      </c>
      <c r="H32">
        <f t="shared" ca="1" si="2"/>
        <v>9.5329788173125714</v>
      </c>
      <c r="I32">
        <f t="shared" ca="1" si="3"/>
        <v>20.516012768579181</v>
      </c>
      <c r="J32">
        <f t="shared" ca="1" si="4"/>
        <v>15.559484131108212</v>
      </c>
      <c r="K32">
        <f t="shared" ca="1" si="5"/>
        <v>68.11864122966098</v>
      </c>
      <c r="L32">
        <f t="shared" ca="1" si="6"/>
        <v>11.353106871610164</v>
      </c>
    </row>
    <row r="33" spans="1:12" x14ac:dyDescent="0.25">
      <c r="A33" t="s">
        <v>50</v>
      </c>
      <c r="B33" t="s">
        <v>18</v>
      </c>
      <c r="C33" t="s">
        <v>14</v>
      </c>
      <c r="D33" t="s">
        <v>16</v>
      </c>
      <c r="E33">
        <f ca="1">RAND()*RANDBETWEEN(8,11)+5+10</f>
        <v>19.640398576003342</v>
      </c>
      <c r="F33">
        <f t="shared" ca="1" si="0"/>
        <v>80.279738281001997</v>
      </c>
      <c r="G33">
        <f t="shared" ca="1" si="1"/>
        <v>42.867948152931433</v>
      </c>
      <c r="H33">
        <f t="shared" ca="1" si="2"/>
        <v>11.872707174829403</v>
      </c>
      <c r="I33">
        <f t="shared" ca="1" si="3"/>
        <v>18.805149385436788</v>
      </c>
      <c r="J33">
        <f t="shared" ca="1" si="4"/>
        <v>5.7609551438756714</v>
      </c>
      <c r="K33">
        <f t="shared" ca="1" si="5"/>
        <v>215.72707570505386</v>
      </c>
      <c r="L33">
        <f t="shared" ca="1" si="6"/>
        <v>43.145415141010773</v>
      </c>
    </row>
    <row r="34" spans="1:12" x14ac:dyDescent="0.25">
      <c r="A34" t="s">
        <v>51</v>
      </c>
      <c r="B34" t="s">
        <v>18</v>
      </c>
      <c r="C34" t="s">
        <v>14</v>
      </c>
      <c r="D34" t="s">
        <v>16</v>
      </c>
      <c r="E34">
        <f ca="1">RAND()*RANDBETWEEN(8,11)+5+10</f>
        <v>24.100808259494947</v>
      </c>
      <c r="F34">
        <f t="shared" ca="1" si="0"/>
        <v>75.536684507404615</v>
      </c>
      <c r="G34">
        <f t="shared" ca="1" si="1"/>
        <v>40.967370816038894</v>
      </c>
      <c r="H34">
        <f t="shared" ca="1" si="2"/>
        <v>0.47651103010658502</v>
      </c>
      <c r="I34">
        <f t="shared" ca="1" si="3"/>
        <v>24.552662543461476</v>
      </c>
      <c r="J34">
        <f t="shared" ca="1" si="4"/>
        <v>6.2492382939768483</v>
      </c>
      <c r="K34">
        <f t="shared" ca="1" si="5"/>
        <v>49.375380890657524</v>
      </c>
      <c r="L34">
        <f t="shared" ca="1" si="6"/>
        <v>7.0536258415225035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Universitätsklinikum Leipzig AöR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Meißner, Tobias</dc:creator>
  <cp:lastModifiedBy>Meißner, Tobias</cp:lastModifiedBy>
  <dcterms:created xsi:type="dcterms:W3CDTF">2024-06-05T13:45:20Z</dcterms:created>
  <dcterms:modified xsi:type="dcterms:W3CDTF">2024-06-27T13:07:38Z</dcterms:modified>
</cp:coreProperties>
</file>